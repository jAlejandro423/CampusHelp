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2000" windowHeight="24000" tabRatio="600" firstSheet="0" activeTab="0" autoFilterDateGrouping="1"/>
  </bookViews>
  <sheets>
    <sheet name="Léeme" sheetId="1" state="visible" r:id="rId1"/>
    <sheet name="Resumen por sprint" sheetId="2" state="visible" r:id="rId2"/>
    <sheet name="Historias" sheetId="3" state="visible" r:id="rId3"/>
    <sheet name="WIP diario" sheetId="4" state="visible" r:id="rId4"/>
    <sheet name="Bloqueos" sheetId="5" state="visible" r:id="rId5"/>
    <sheet name="Defectos" sheetId="6" state="visible" r:id="rId6"/>
  </sheets>
  <definedNames/>
  <calcPr calcId="171027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"/>
    <numFmt numFmtId="166" formatCode="dd/mm/yyyy hh:mm"/>
    <numFmt numFmtId="167" formatCode="yyyy-mm-dd hh:mm"/>
  </numFmts>
  <fonts count="5">
    <font>
      <name val="Calibri"/>
      <family val="2"/>
      <color theme="1"/>
      <sz val="11"/>
      <scheme val="minor"/>
    </font>
    <font>
      <b val="1"/>
      <color rgb="FF1E3A8A"/>
      <sz val="14"/>
    </font>
    <font>
      <b val="1"/>
      <color rgb="FF1E3A8A"/>
      <sz val="12"/>
    </font>
    <font>
      <b val="1"/>
      <color rgb="FFFFFFFF"/>
    </font>
    <font>
      <b val="1"/>
    </font>
  </fonts>
  <fills count="5">
    <fill>
      <patternFill/>
    </fill>
    <fill>
      <patternFill patternType="gray125"/>
    </fill>
    <fill>
      <patternFill patternType="solid">
        <fgColor rgb="FF1E3A8A"/>
      </patternFill>
    </fill>
    <fill>
      <patternFill patternType="solid">
        <fgColor rgb="FFFFFBEB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9" fontId="0" fillId="0" borderId="0" pivotButton="0" quotePrefix="0" xfId="0"/>
    <xf numFmtId="165" fontId="0" fillId="0" borderId="0" pivotButton="0" quotePrefix="0" xfId="0"/>
    <xf numFmtId="0" fontId="3" fillId="2" borderId="0" applyAlignment="1" pivotButton="0" quotePrefix="0" xfId="0">
      <alignment vertical="center" wrapText="1"/>
    </xf>
    <xf numFmtId="164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top" wrapText="1"/>
    </xf>
    <xf numFmtId="9" fontId="3" fillId="2" borderId="0" applyAlignment="1" pivotButton="0" quotePrefix="0" xfId="0">
      <alignment vertical="center" wrapText="1"/>
    </xf>
    <xf numFmtId="165" fontId="3" fillId="2" borderId="0" applyAlignment="1" pivotButton="0" quotePrefix="0" xfId="0">
      <alignment vertical="center" wrapText="1"/>
    </xf>
    <xf numFmtId="164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9" fontId="0" fillId="4" borderId="0" pivotButton="0" quotePrefix="0" xfId="0"/>
    <xf numFmtId="165" fontId="0" fillId="4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4" borderId="0" pivotButton="0" quotePrefix="0" xfId="0"/>
    <xf numFmtId="9" fontId="4" fillId="4" borderId="0" pivotButton="0" quotePrefix="0" xfId="0"/>
    <xf numFmtId="165" fontId="4" fillId="4" borderId="0" pivotButton="0" quotePrefix="0" xfId="0"/>
    <xf numFmtId="166" fontId="0" fillId="0" borderId="0" pivotButton="0" quotePrefix="0" xfId="0"/>
    <xf numFmtId="166" fontId="3" fillId="2" borderId="0" applyAlignment="1" pivotButton="0" quotePrefix="0" xfId="0">
      <alignment vertical="center" wrapText="1"/>
    </xf>
    <xf numFmtId="0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</cellXfs>
  <cellStyles count="1">
    <cellStyle name="Normal" xfId="0" builtinId="0"/>
  </cellStyles>
  <dxfs count="1">
    <dxf>
      <font>
        <b val="1"/>
        <color rgb="FFB91C1C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jAlejandro</author>
  </authors>
  <commentList>
    <comment ref="D4" authorId="0" shapeId="0">
      <text>
        <t>Plan: 11 oct. Fin real: 12 oct (cierre de #17 y #18). Registrado en la #36.</t>
      </text>
    </comment>
    <comment ref="C5" authorId="0" shapeId="0">
      <text>
        <t>Plan original: 11–12 oct. Empieza en el Sprint 3 Planning (2026-10-12 22:24, creación de #97). Lleva la hora para no contar en el Sprint 3 las HU del Sprint 2, que llegaron a Done el 12 oct antes de las 21:33. Registrado en la #37.</t>
      </text>
    </comment>
    <comment ref="D5" authorId="0" shapeId="0">
      <text>
        <t>Fin: 13 oct, día de la entrega. Registrado en la #37.</t>
      </text>
    </comment>
  </commentList>
</comments>
</file>

<file path=xl/comments/comment2.xml><?xml version="1.0" encoding="utf-8"?>
<comments xmlns="http://schemas.openxmlformats.org/spreadsheetml/2006/main">
  <authors>
    <author>Author</author>
  </authors>
  <commentList>
    <comment ref="J2" authorId="0" shapeId="0">
      <text>
        <t>Ruta: docs/evidencias/tablero/AAAA-MM-DD.png</t>
      </text>
    </comment>
  </commentList>
</comments>
</file>

<file path=xl/comments/comment3.xml><?xml version="1.0" encoding="utf-8"?>
<comments xmlns="http://schemas.openxmlformats.org/spreadsheetml/2006/main">
  <authors>
    <author>Author</author>
  </authors>
  <commentList>
    <comment ref="A2" authorId="0" shapeId="0">
      <text>
        <t>Formato: BLQ-01, BLQ-02…</t>
      </text>
    </comment>
  </commentList>
</comments>
</file>

<file path=xl/comments/comment4.xml><?xml version="1.0" encoding="utf-8"?>
<comments xmlns="http://schemas.openxmlformats.org/spreadsheetml/2006/main">
  <authors>
    <author>Author</author>
  </authors>
  <commentList>
    <comment ref="A2" authorId="0" shapeId="0">
      <text>
        <t>Formato: DEF-01, DEF-02…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 outlineLevelRow="0"/>
  <cols>
    <col width="110" customWidth="1" min="1" max="1"/>
  </cols>
  <sheetData>
    <row r="1">
      <c r="A1" s="1" t="inlineStr">
        <is>
          <t>CampusHelp · Hoja de seguimiento de métricas ScrumBan</t>
        </is>
      </c>
    </row>
    <row r="2">
      <c r="A2" s="2" t="inlineStr"/>
    </row>
    <row r="3">
      <c r="A3" s="3" t="inlineStr">
        <is>
          <t>Cómo se usa</t>
        </is>
      </c>
    </row>
    <row r="4">
      <c r="A4" s="2" t="inlineStr">
        <is>
          <t>1. Las celdas amarillas se llenan a mano; las grises se calculan solas. No escribas sobre las grises.</t>
        </is>
      </c>
    </row>
    <row r="5">
      <c r="A5" s="2" t="inlineStr">
        <is>
          <t>2. Historias: anota la fecha y hora en que cada HU entra a cada columna del tablero, EL MISMO DÍA en que ocurre (docs/politicas.md §8).</t>
        </is>
      </c>
    </row>
    <row r="6">
      <c r="A6" s="2" t="inlineStr">
        <is>
          <t>3. WIP diario: una fila por Daily con el conteo de historias en cada columna. "¿Respeta WIP?" se calcula con los límites 3 / 3 / 2.</t>
        </is>
      </c>
    </row>
    <row r="7">
      <c r="A7" s="2" t="inlineStr">
        <is>
          <t>4. Bloqueos: una fila por bloqueo (label `bloqueado`). Si no tiene fin, los días se cuentan hasta hoy.</t>
        </is>
      </c>
    </row>
    <row r="8">
      <c r="A8" s="2" t="inlineStr">
        <is>
          <t>5. Defectos: una fila por defecto (label `defecto`). Es el registro de defectos que pide el taller.</t>
        </is>
      </c>
    </row>
    <row r="9">
      <c r="A9" s="2" t="inlineStr">
        <is>
          <t>6. Resumen por sprint: se calcula solo a partir de las otras pestañas. Úsalo en la Review, la Retro y en la #41.</t>
        </is>
      </c>
    </row>
    <row r="10">
      <c r="A10" s="2" t="inlineStr"/>
    </row>
    <row r="11">
      <c r="A11" s="3" t="inlineStr">
        <is>
          <t>Definiciones</t>
        </is>
      </c>
    </row>
    <row r="12">
      <c r="A12" s="2" t="inlineStr">
        <is>
          <t>Lead Time = Done − Ready (días, con decimales).</t>
        </is>
      </c>
    </row>
    <row r="13">
      <c r="A13" s="2" t="inlineStr">
        <is>
          <t>Cycle Time = Done − En análisis (días, con decimales).</t>
        </is>
      </c>
    </row>
    <row r="14">
      <c r="A14" s="2" t="inlineStr">
        <is>
          <t>Throughput = historias que llegaron a Done dentro de las fechas del sprint.</t>
        </is>
      </c>
    </row>
    <row r="15">
      <c r="A15" s="2" t="inlineStr">
        <is>
          <t>Puntos terminados = suma de puntos de esas historias (velocidad del sprint).</t>
        </is>
      </c>
    </row>
    <row r="16">
      <c r="A16" s="2" t="inlineStr"/>
    </row>
    <row r="17">
      <c r="A17" s="3" t="inlineStr">
        <is>
          <t>Reglas</t>
        </is>
      </c>
    </row>
    <row r="18">
      <c r="A18" s="2" t="inlineStr">
        <is>
          <t>• No se inventan ni reconstruyen métricas al final. Si se olvida un registro, se anota la fecha más probable y se explica en "Observaciones".</t>
        </is>
      </c>
    </row>
    <row r="19">
      <c r="A19" s="2" t="inlineStr">
        <is>
          <t>• Si una HU vuelve de En validación a En atención, se suma 1 en "Devoluciones" y se conserva la primera fecha de cada columna.</t>
        </is>
      </c>
    </row>
    <row r="20">
      <c r="A20" s="2" t="inlineStr">
        <is>
          <t>• Si una HU cambia de sprint, se actualiza "Sprint comprometido" y se deja la observación.</t>
        </is>
      </c>
    </row>
    <row r="21">
      <c r="A21" s="2" t="inlineStr">
        <is>
          <t>• Fechas en formato dd/mm/aaaa hh:mm (por ejemplo 06/10/2026 14:30).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16" customWidth="1" min="2" max="2"/>
    <col width="12" customWidth="1" style="4" min="3" max="4"/>
    <col width="46" customWidth="1" style="5" min="5" max="5"/>
    <col width="13" customWidth="1" min="6" max="7"/>
    <col width="14" customWidth="1" min="8" max="8"/>
    <col width="12" customWidth="1" min="9" max="9"/>
    <col width="11" customWidth="1" style="6" min="10" max="10"/>
    <col width="12" customWidth="1" style="7" min="11" max="12"/>
    <col width="11" customWidth="1" style="7" min="13" max="15"/>
    <col width="12" customWidth="1" min="16" max="16"/>
    <col width="10" customWidth="1" min="17" max="17"/>
    <col width="11" customWidth="1" style="7" min="18" max="18"/>
    <col width="11" customWidth="1" min="19" max="20"/>
  </cols>
  <sheetData>
    <row r="1" ht="36" customFormat="1" customHeight="1" s="8">
      <c r="A1" s="8" t="inlineStr">
        <is>
          <t>Sprint</t>
        </is>
      </c>
      <c r="B1" s="8" t="inlineStr">
        <is>
          <t>Nombre</t>
        </is>
      </c>
      <c r="C1" s="9" t="inlineStr">
        <is>
          <t>Inicio</t>
        </is>
      </c>
      <c r="D1" s="9" t="inlineStr">
        <is>
          <t>Fin</t>
        </is>
      </c>
      <c r="E1" s="10" t="inlineStr">
        <is>
          <t>Sprint Goal</t>
        </is>
      </c>
      <c r="F1" s="8" t="inlineStr">
        <is>
          <t>HU comprometidas</t>
        </is>
      </c>
      <c r="G1" s="8" t="inlineStr">
        <is>
          <t>Puntos comprometidos</t>
        </is>
      </c>
      <c r="H1" s="8" t="inlineStr">
        <is>
          <t>HU terminadas (throughput)</t>
        </is>
      </c>
      <c r="I1" s="8" t="inlineStr">
        <is>
          <t>Puntos terminados</t>
        </is>
      </c>
      <c r="J1" s="11" t="inlineStr">
        <is>
          <t>% puntos cumplidos</t>
        </is>
      </c>
      <c r="K1" s="12" t="inlineStr">
        <is>
          <t>Lead Time prom. (días)</t>
        </is>
      </c>
      <c r="L1" s="12" t="inlineStr">
        <is>
          <t>Cycle Time prom. (días)</t>
        </is>
      </c>
      <c r="M1" s="12" t="inlineStr">
        <is>
          <t>WIP prom. análisis</t>
        </is>
      </c>
      <c r="N1" s="12" t="inlineStr">
        <is>
          <t>WIP prom. atención</t>
        </is>
      </c>
      <c r="O1" s="12" t="inlineStr">
        <is>
          <t>WIP prom. validación</t>
        </is>
      </c>
      <c r="P1" s="8" t="inlineStr">
        <is>
          <t>Dailies con WIP excedido</t>
        </is>
      </c>
      <c r="Q1" s="8" t="inlineStr">
        <is>
          <t>Bloqueos</t>
        </is>
      </c>
      <c r="R1" s="12" t="inlineStr">
        <is>
          <t>Días bloqueados</t>
        </is>
      </c>
      <c r="S1" s="8" t="inlineStr">
        <is>
          <t>Defectos encontrados</t>
        </is>
      </c>
      <c r="T1" s="8" t="inlineStr">
        <is>
          <t>Defectos abiertos</t>
        </is>
      </c>
    </row>
    <row r="2">
      <c r="A2" t="n">
        <v>0</v>
      </c>
      <c r="B2" t="inlineStr">
        <is>
          <t>Preparación</t>
        </is>
      </c>
      <c r="C2" s="13" t="n">
        <v>46300</v>
      </c>
      <c r="D2" s="13" t="n">
        <v>46300</v>
      </c>
      <c r="E2" s="14" t="inlineStr">
        <is>
          <t>Setup, BD, tablero y políticas</t>
        </is>
      </c>
      <c r="F2" s="15">
        <f>COUNTIF(Historias!$E$2:$E$200,$A2)</f>
        <v/>
      </c>
      <c r="G2" s="15">
        <f>SUMIF(Historias!$E$2:$E$200,$A2,Historias!$D$2:$D$200)</f>
        <v/>
      </c>
      <c r="H2" s="15">
        <f>COUNTIFS(Historias!$J$2:$J$200,"&gt;="&amp;$C2,Historias!$J$2:$J$200,"&lt;"&amp;($D2+1))</f>
        <v/>
      </c>
      <c r="I2" s="15">
        <f>SUMIFS(Historias!$D$2:$D$200,Historias!$J$2:$J$200,"&gt;="&amp;$C2,Historias!$J$2:$J$200,"&lt;"&amp;($D2+1))</f>
        <v/>
      </c>
      <c r="J2" s="16">
        <f>IF(G2=0,"",I2/G2)</f>
        <v/>
      </c>
      <c r="K2" s="17">
        <f>IFERROR(AVERAGEIFS(Historias!$M$2:$M$200,Historias!$J$2:$J$200,"&gt;="&amp;$C2,Historias!$J$2:$J$200,"&lt;"&amp;($D2+1)),"")</f>
        <v/>
      </c>
      <c r="L2" s="17">
        <f>IFERROR(AVERAGEIFS(Historias!$N$2:$N$200,Historias!$J$2:$J$200,"&gt;="&amp;$C2,Historias!$J$2:$J$200,"&lt;"&amp;($D2+1)),"")</f>
        <v/>
      </c>
      <c r="M2" s="17">
        <f>IFERROR(AVERAGEIF('WIP diario'!$B$2:$B$500,$A2,'WIP diario'!$E$2:$E$500),"")</f>
        <v/>
      </c>
      <c r="N2" s="17">
        <f>IFERROR(AVERAGEIF('WIP diario'!$B$2:$B$500,$A2,'WIP diario'!$F$2:$F$500),"")</f>
        <v/>
      </c>
      <c r="O2" s="17">
        <f>IFERROR(AVERAGEIF('WIP diario'!$B$2:$B$500,$A2,'WIP diario'!$G$2:$G$500),"")</f>
        <v/>
      </c>
      <c r="P2" s="15">
        <f>COUNTIFS('WIP diario'!$B$2:$B$500,$A2,'WIP diario'!$I$2:$I$500,"No")</f>
        <v/>
      </c>
      <c r="Q2" s="15">
        <f>COUNTIF(Bloqueos!$B$2:$B$500,$A2)</f>
        <v/>
      </c>
      <c r="R2" s="17">
        <f>SUMIF(Bloqueos!$B$2:$B$500,$A2,Bloqueos!$H$2:$H$500)</f>
        <v/>
      </c>
      <c r="S2" s="15">
        <f>COUNTIF(Defectos!$B$2:$B$500,$A2)</f>
        <v/>
      </c>
      <c r="T2" s="15">
        <f>COUNTIFS(Defectos!$B$2:$B$500,$A2,Defectos!$J$2:$J$500,"&lt;&gt;Cerrado",Defectos!$A$2:$A$500,"&lt;&gt;")</f>
        <v/>
      </c>
    </row>
    <row r="3">
      <c r="A3" t="n">
        <v>1</v>
      </c>
      <c r="B3" t="inlineStr">
        <is>
          <t>Sprint 1</t>
        </is>
      </c>
      <c r="C3" s="13" t="n">
        <v>46301</v>
      </c>
      <c r="D3" s="13" t="n">
        <v>46305</v>
      </c>
      <c r="E3" s="14" t="inlineStr">
        <is>
          <t>Registrar casos, verlos en la bandeja y cambiar su estado</t>
        </is>
      </c>
      <c r="F3" s="15">
        <f>COUNTIF(Historias!$E$2:$E$200,$A3)</f>
        <v/>
      </c>
      <c r="G3" s="15">
        <f>SUMIF(Historias!$E$2:$E$200,$A3,Historias!$D$2:$D$200)</f>
        <v/>
      </c>
      <c r="H3" s="15">
        <f>COUNTIFS(Historias!$J$2:$J$200,"&gt;="&amp;$C3,Historias!$J$2:$J$200,"&lt;"&amp;($D3+1))</f>
        <v/>
      </c>
      <c r="I3" s="15">
        <f>SUMIFS(Historias!$D$2:$D$200,Historias!$J$2:$J$200,"&gt;="&amp;$C3,Historias!$J$2:$J$200,"&lt;"&amp;($D3+1))</f>
        <v/>
      </c>
      <c r="J3" s="16">
        <f>IF(G3=0,"",I3/G3)</f>
        <v/>
      </c>
      <c r="K3" s="17">
        <f>IFERROR(AVERAGEIFS(Historias!$M$2:$M$200,Historias!$J$2:$J$200,"&gt;="&amp;$C3,Historias!$J$2:$J$200,"&lt;"&amp;($D3+1)),"")</f>
        <v/>
      </c>
      <c r="L3" s="17">
        <f>IFERROR(AVERAGEIFS(Historias!$N$2:$N$200,Historias!$J$2:$J$200,"&gt;="&amp;$C3,Historias!$J$2:$J$200,"&lt;"&amp;($D3+1)),"")</f>
        <v/>
      </c>
      <c r="M3" s="17">
        <f>IFERROR(AVERAGEIF('WIP diario'!$B$2:$B$500,$A3,'WIP diario'!$E$2:$E$500),"")</f>
        <v/>
      </c>
      <c r="N3" s="17">
        <f>IFERROR(AVERAGEIF('WIP diario'!$B$2:$B$500,$A3,'WIP diario'!$F$2:$F$500),"")</f>
        <v/>
      </c>
      <c r="O3" s="17">
        <f>IFERROR(AVERAGEIF('WIP diario'!$B$2:$B$500,$A3,'WIP diario'!$G$2:$G$500),"")</f>
        <v/>
      </c>
      <c r="P3" s="15">
        <f>COUNTIFS('WIP diario'!$B$2:$B$500,$A3,'WIP diario'!$I$2:$I$500,"No")</f>
        <v/>
      </c>
      <c r="Q3" s="15">
        <f>COUNTIF(Bloqueos!$B$2:$B$500,$A3)</f>
        <v/>
      </c>
      <c r="R3" s="17">
        <f>SUMIF(Bloqueos!$B$2:$B$500,$A3,Bloqueos!$H$2:$H$500)</f>
        <v/>
      </c>
      <c r="S3" s="15">
        <f>COUNTIF(Defectos!$B$2:$B$500,$A3)</f>
        <v/>
      </c>
      <c r="T3" s="15">
        <f>COUNTIFS(Defectos!$B$2:$B$500,$A3,Defectos!$J$2:$J$500,"&lt;&gt;Cerrado",Defectos!$A$2:$A$500,"&lt;&gt;")</f>
        <v/>
      </c>
    </row>
    <row r="4">
      <c r="A4" t="n">
        <v>2</v>
      </c>
      <c r="B4" t="inlineStr">
        <is>
          <t>Sprint 2</t>
        </is>
      </c>
      <c r="C4" s="13" t="n">
        <v>46306</v>
      </c>
      <c r="D4" s="13" t="n">
        <v>46307</v>
      </c>
      <c r="E4" s="14" t="inlineStr">
        <is>
          <t>Asignar → Atender → Validar → Cerrar, con historial</t>
        </is>
      </c>
      <c r="F4" s="15">
        <f>COUNTIF(Historias!$E$2:$E$200,$A4)</f>
        <v/>
      </c>
      <c r="G4" s="15">
        <f>SUMIF(Historias!$E$2:$E$200,$A4,Historias!$D$2:$D$200)</f>
        <v/>
      </c>
      <c r="H4" s="15">
        <f>COUNTIFS(Historias!$J$2:$J$200,"&gt;="&amp;$C4,Historias!$J$2:$J$200,"&lt;"&amp;($D4+1))</f>
        <v/>
      </c>
      <c r="I4" s="15">
        <f>SUMIFS(Historias!$D$2:$D$200,Historias!$J$2:$J$200,"&gt;="&amp;$C4,Historias!$J$2:$J$200,"&lt;"&amp;($D4+1))</f>
        <v/>
      </c>
      <c r="J4" s="16">
        <f>IF(G4=0,"",I4/G4)</f>
        <v/>
      </c>
      <c r="K4" s="17">
        <f>IFERROR(AVERAGEIFS(Historias!$M$2:$M$200,Historias!$J$2:$J$200,"&gt;="&amp;$C4,Historias!$J$2:$J$200,"&lt;"&amp;($D4+1)),"")</f>
        <v/>
      </c>
      <c r="L4" s="17">
        <f>IFERROR(AVERAGEIFS(Historias!$N$2:$N$200,Historias!$J$2:$J$200,"&gt;="&amp;$C4,Historias!$J$2:$J$200,"&lt;"&amp;($D4+1)),"")</f>
        <v/>
      </c>
      <c r="M4" s="17">
        <f>IFERROR(AVERAGEIF('WIP diario'!$B$2:$B$500,$A4,'WIP diario'!$E$2:$E$500),"")</f>
        <v/>
      </c>
      <c r="N4" s="17">
        <f>IFERROR(AVERAGEIF('WIP diario'!$B$2:$B$500,$A4,'WIP diario'!$F$2:$F$500),"")</f>
        <v/>
      </c>
      <c r="O4" s="17">
        <f>IFERROR(AVERAGEIF('WIP diario'!$B$2:$B$500,$A4,'WIP diario'!$G$2:$G$500),"")</f>
        <v/>
      </c>
      <c r="P4" s="15">
        <f>COUNTIFS('WIP diario'!$B$2:$B$500,$A4,'WIP diario'!$I$2:$I$500,"No")</f>
        <v/>
      </c>
      <c r="Q4" s="15">
        <f>COUNTIF(Bloqueos!$B$2:$B$500,$A4)</f>
        <v/>
      </c>
      <c r="R4" s="17">
        <f>SUMIF(Bloqueos!$B$2:$B$500,$A4,Bloqueos!$H$2:$H$500)</f>
        <v/>
      </c>
      <c r="S4" s="15">
        <f>COUNTIF(Defectos!$B$2:$B$500,$A4)</f>
        <v/>
      </c>
      <c r="T4" s="15">
        <f>COUNTIFS(Defectos!$B$2:$B$500,$A4,Defectos!$J$2:$J$500,"&lt;&gt;Cerrado",Defectos!$A$2:$A$500,"&lt;&gt;")</f>
        <v/>
      </c>
    </row>
    <row r="5">
      <c r="A5" t="n">
        <v>3</v>
      </c>
      <c r="B5" t="inlineStr">
        <is>
          <t>Sprint 3</t>
        </is>
      </c>
      <c r="C5" s="27" t="n">
        <v>46307.93368055556</v>
      </c>
      <c r="D5" s="13" t="n">
        <v>46308</v>
      </c>
      <c r="E5" s="14" t="inlineStr">
        <is>
          <t>Filtros, indicadores, categorías, detalle, QA y README</t>
        </is>
      </c>
      <c r="F5" s="15">
        <f>COUNTIF(Historias!$E$2:$E$200,$A5)</f>
        <v/>
      </c>
      <c r="G5" s="15">
        <f>SUMIF(Historias!$E$2:$E$200,$A5,Historias!$D$2:$D$200)</f>
        <v/>
      </c>
      <c r="H5" s="15">
        <f>COUNTIFS(Historias!$J$2:$J$200,"&gt;="&amp;$C5,Historias!$J$2:$J$200,"&lt;"&amp;($D5+1))</f>
        <v/>
      </c>
      <c r="I5" s="15">
        <f>SUMIFS(Historias!$D$2:$D$200,Historias!$J$2:$J$200,"&gt;="&amp;$C5,Historias!$J$2:$J$200,"&lt;"&amp;($D5+1))</f>
        <v/>
      </c>
      <c r="J5" s="16">
        <f>IF(G5=0,"",I5/G5)</f>
        <v/>
      </c>
      <c r="K5" s="17">
        <f>IFERROR(AVERAGEIFS(Historias!$M$2:$M$200,Historias!$J$2:$J$200,"&gt;="&amp;$C5,Historias!$J$2:$J$200,"&lt;"&amp;($D5+1)),"")</f>
        <v/>
      </c>
      <c r="L5" s="17">
        <f>IFERROR(AVERAGEIFS(Historias!$N$2:$N$200,Historias!$J$2:$J$200,"&gt;="&amp;$C5,Historias!$J$2:$J$200,"&lt;"&amp;($D5+1)),"")</f>
        <v/>
      </c>
      <c r="M5" s="17">
        <f>IFERROR(AVERAGEIF('WIP diario'!$B$2:$B$500,$A5,'WIP diario'!$E$2:$E$500),"")</f>
        <v/>
      </c>
      <c r="N5" s="17">
        <f>IFERROR(AVERAGEIF('WIP diario'!$B$2:$B$500,$A5,'WIP diario'!$F$2:$F$500),"")</f>
        <v/>
      </c>
      <c r="O5" s="17">
        <f>IFERROR(AVERAGEIF('WIP diario'!$B$2:$B$500,$A5,'WIP diario'!$G$2:$G$500),"")</f>
        <v/>
      </c>
      <c r="P5" s="15">
        <f>COUNTIFS('WIP diario'!$B$2:$B$500,$A5,'WIP diario'!$I$2:$I$500,"No")</f>
        <v/>
      </c>
      <c r="Q5" s="15">
        <f>COUNTIF(Bloqueos!$B$2:$B$500,$A5)</f>
        <v/>
      </c>
      <c r="R5" s="17">
        <f>SUMIF(Bloqueos!$B$2:$B$500,$A5,Bloqueos!$H$2:$H$500)</f>
        <v/>
      </c>
      <c r="S5" s="15">
        <f>COUNTIF(Defectos!$B$2:$B$500,$A5)</f>
        <v/>
      </c>
      <c r="T5" s="15">
        <f>COUNTIFS(Defectos!$B$2:$B$500,$A5,Defectos!$J$2:$J$500,"&lt;&gt;Cerrado",Defectos!$A$2:$A$500,"&lt;&gt;")</f>
        <v/>
      </c>
    </row>
    <row r="6" customFormat="1" s="18">
      <c r="A6" s="18" t="inlineStr">
        <is>
          <t>Total</t>
        </is>
      </c>
      <c r="C6" s="19" t="n"/>
      <c r="D6" s="19" t="n"/>
      <c r="E6" s="20" t="n"/>
      <c r="F6" s="21">
        <f>SUM(F2:F5)</f>
        <v/>
      </c>
      <c r="G6" s="21">
        <f>SUM(G2:G5)</f>
        <v/>
      </c>
      <c r="H6" s="21">
        <f>SUM(H2:H5)</f>
        <v/>
      </c>
      <c r="I6" s="21">
        <f>SUM(I2:I5)</f>
        <v/>
      </c>
      <c r="J6" s="22">
        <f>IF(G6=0,"",I6/G6)</f>
        <v/>
      </c>
      <c r="K6" s="23">
        <f>IFERROR(AVERAGE(Historias!$M$2:$M$200),"")</f>
        <v/>
      </c>
      <c r="L6" s="23">
        <f>IFERROR(AVERAGE(Historias!$N$2:$N$200),"")</f>
        <v/>
      </c>
      <c r="M6" s="23" t="n"/>
      <c r="N6" s="23" t="n"/>
      <c r="O6" s="23" t="n"/>
      <c r="P6" s="21">
        <f>SUM(P2:P5)</f>
        <v/>
      </c>
      <c r="Q6" s="21">
        <f>SUM(Q2:Q5)</f>
        <v/>
      </c>
      <c r="R6" s="23">
        <f>SUM(R2:R5)</f>
        <v/>
      </c>
      <c r="S6" s="21">
        <f>SUM(S2:S5)</f>
        <v/>
      </c>
      <c r="T6" s="21">
        <f>SUM(T2:T5)</f>
        <v/>
      </c>
    </row>
  </sheetData>
  <pageMargins left="0.7" right="0.7" top="0.75" bottom="0.75" header="0.3" footer="0.3"/>
  <pageSetup orientation="portrait" scale="100" fitToHeight="1" fitToWidth="1" horizontalDpi="4294967295" verticalDpi="429496729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40" customWidth="1" min="2" max="2"/>
    <col width="8" customWidth="1" min="4" max="4"/>
    <col width="11" customWidth="1" min="5" max="5"/>
    <col width="16" customWidth="1" style="24" min="6" max="10"/>
    <col width="14" customWidth="1" min="11" max="11"/>
    <col width="10" customWidth="1" style="7" min="12" max="14"/>
    <col width="40" customWidth="1" style="5" min="15" max="15"/>
  </cols>
  <sheetData>
    <row r="1" ht="36" customFormat="1" customHeight="1" s="8">
      <c r="A1" s="8" t="inlineStr">
        <is>
          <t>HU</t>
        </is>
      </c>
      <c r="B1" s="8" t="inlineStr">
        <is>
          <t>Historia</t>
        </is>
      </c>
      <c r="C1" s="8" t="inlineStr">
        <is>
          <t>Prioridad</t>
        </is>
      </c>
      <c r="D1" s="8" t="inlineStr">
        <is>
          <t>Puntos</t>
        </is>
      </c>
      <c r="E1" s="8" t="inlineStr">
        <is>
          <t>Sprint comprometido</t>
        </is>
      </c>
      <c r="F1" s="25" t="inlineStr">
        <is>
          <t>Ready</t>
        </is>
      </c>
      <c r="G1" s="25" t="inlineStr">
        <is>
          <t>En análisis</t>
        </is>
      </c>
      <c r="H1" s="25" t="inlineStr">
        <is>
          <t>En atención</t>
        </is>
      </c>
      <c r="I1" s="25" t="inlineStr">
        <is>
          <t>En validación</t>
        </is>
      </c>
      <c r="J1" s="25" t="inlineStr">
        <is>
          <t>Done</t>
        </is>
      </c>
      <c r="K1" s="8" t="inlineStr">
        <is>
          <t>Devoluciones (validación → atención)</t>
        </is>
      </c>
      <c r="L1" s="12" t="inlineStr">
        <is>
          <t>Días bloqueada</t>
        </is>
      </c>
      <c r="M1" s="12" t="inlineStr">
        <is>
          <t>Lead Time (días)</t>
        </is>
      </c>
      <c r="N1" s="12" t="inlineStr">
        <is>
          <t>Cycle Time (días)</t>
        </is>
      </c>
      <c r="O1" s="10" t="inlineStr">
        <is>
          <t>Observaciones</t>
        </is>
      </c>
    </row>
    <row r="2">
      <c r="A2" t="inlineStr">
        <is>
          <t>HU-01</t>
        </is>
      </c>
      <c r="B2" t="inlineStr">
        <is>
          <t>Registrar incidente o solicitud</t>
        </is>
      </c>
      <c r="C2" t="inlineStr">
        <is>
          <t>P1</t>
        </is>
      </c>
      <c r="D2" t="n">
        <v>5</v>
      </c>
      <c r="E2" s="26" t="n">
        <v>1</v>
      </c>
      <c r="F2" s="27" t="n"/>
      <c r="G2" s="27" t="n">
        <v>46302.97351900463</v>
      </c>
      <c r="H2" s="27" t="n"/>
      <c r="I2" s="27" t="n"/>
      <c r="J2" s="27" t="n">
        <v>46304.61870400463</v>
      </c>
      <c r="K2" s="26" t="n">
        <v>0</v>
      </c>
      <c r="L2" s="17">
        <f>SUMIF(Bloqueos!$C$2:$C$500,$A2,Bloqueos!$H$2:$H$500)</f>
        <v/>
      </c>
      <c r="M2" s="17">
        <f>IF(AND(ISNUMBER(J2),ISNUMBER(F2)),J2-F2,"")</f>
        <v/>
      </c>
      <c r="N2" s="17">
        <f>IF(AND(ISNUMBER(J2),ISNUMBER(G2)),J2-G2,"")</f>
        <v/>
      </c>
      <c r="O2" s="14" t="inlineStr">
        <is>
          <t>Registrado el 2026-10-10 en la #35: durante el sprint no se anotaron las fechas. En análisis = primer commit de #23 (PR #54), la fecha más probable. Done = cierre real de #11. Ready, En atención y En validación no se registraron.</t>
        </is>
      </c>
    </row>
    <row r="3">
      <c r="A3" t="inlineStr">
        <is>
          <t>HU-02</t>
        </is>
      </c>
      <c r="B3" t="inlineStr">
        <is>
          <t>Consultar mis casos (solicitante)</t>
        </is>
      </c>
      <c r="C3" t="inlineStr">
        <is>
          <t>P1</t>
        </is>
      </c>
      <c r="D3" t="n">
        <v>3</v>
      </c>
      <c r="E3" s="26" t="n">
        <v>1</v>
      </c>
      <c r="F3" s="27" t="n"/>
      <c r="G3" s="27" t="n">
        <v>46303.87137700232</v>
      </c>
      <c r="H3" s="27" t="n"/>
      <c r="I3" s="27" t="n"/>
      <c r="J3" s="27" t="n">
        <v>46305.83897</v>
      </c>
      <c r="K3" s="26" t="n">
        <v>0</v>
      </c>
      <c r="L3" s="17">
        <f>SUMIF(Bloqueos!$C$2:$C$500,$A3,Bloqueos!$H$2:$H$500)</f>
        <v/>
      </c>
      <c r="M3" s="17">
        <f>IF(AND(ISNUMBER(J3),ISNUMBER(F3)),J3-F3,"")</f>
        <v/>
      </c>
      <c r="N3" s="17">
        <f>IF(AND(ISNUMBER(J3),ISNUMBER(G3)),J3-G3,"")</f>
        <v/>
      </c>
      <c r="O3" s="14" t="inlineStr">
        <is>
          <t>Registrado el 2026-10-10 en la #35: durante el sprint no se anotaron las fechas. En análisis = primer commit de #26 (PR #55), la fecha más probable. Done = cierre real de #12. Ready, En atención y En validación no se registraron.</t>
        </is>
      </c>
    </row>
    <row r="4">
      <c r="A4" t="inlineStr">
        <is>
          <t>HU-03</t>
        </is>
      </c>
      <c r="B4" t="inlineStr">
        <is>
          <t>Bandeja de casos pendientes (agente)</t>
        </is>
      </c>
      <c r="C4" t="inlineStr">
        <is>
          <t>P1</t>
        </is>
      </c>
      <c r="D4" t="n">
        <v>3</v>
      </c>
      <c r="E4" s="26" t="n">
        <v>1</v>
      </c>
      <c r="F4" s="27" t="n"/>
      <c r="G4" s="27" t="n">
        <v>46303.87989599537</v>
      </c>
      <c r="H4" s="27" t="n"/>
      <c r="I4" s="27" t="n"/>
      <c r="J4" s="27" t="n">
        <v>46305.83901599537</v>
      </c>
      <c r="K4" s="26" t="n">
        <v>0</v>
      </c>
      <c r="L4" s="17">
        <f>SUMIF(Bloqueos!$C$2:$C$500,$A4,Bloqueos!$H$2:$H$500)</f>
        <v/>
      </c>
      <c r="M4" s="17">
        <f>IF(AND(ISNUMBER(J4),ISNUMBER(F4)),J4-F4,"")</f>
        <v/>
      </c>
      <c r="N4" s="17">
        <f>IF(AND(ISNUMBER(J4),ISNUMBER(G4)),J4-G4,"")</f>
        <v/>
      </c>
      <c r="O4" s="14" t="inlineStr">
        <is>
          <t>Registrado el 2026-10-10 en la #35: durante el sprint no se anotaron las fechas. En análisis = primer commit de #29 (PR #58), la fecha más probable. Done = cierre real de #13. Ready, En atención y En validación no se registraron.</t>
        </is>
      </c>
    </row>
    <row r="5">
      <c r="A5" t="inlineStr">
        <is>
          <t>HU-04</t>
        </is>
      </c>
      <c r="B5" t="inlineStr">
        <is>
          <t>Asignarme un caso (agente)</t>
        </is>
      </c>
      <c r="C5" t="inlineStr">
        <is>
          <t>P1</t>
        </is>
      </c>
      <c r="D5" t="n">
        <v>3</v>
      </c>
      <c r="E5" s="26" t="n">
        <v>2</v>
      </c>
      <c r="F5" s="27" t="n">
        <v>46305.9424537037</v>
      </c>
      <c r="G5" s="27" t="n">
        <v>46306.29155092593</v>
      </c>
      <c r="H5" s="27" t="n"/>
      <c r="I5" s="27" t="n"/>
      <c r="J5" s="27" t="n">
        <v>46307.70314814815</v>
      </c>
      <c r="K5" s="26" t="n">
        <v>0</v>
      </c>
      <c r="L5" s="17">
        <f>SUMIF(Bloqueos!$C$2:$C$500,$A5,Bloqueos!$H$2:$H$500)</f>
        <v/>
      </c>
      <c r="M5" s="17">
        <f>IF(AND(ISNUMBER(J5),ISNUMBER(F5)),J5-F5,"")</f>
        <v/>
      </c>
      <c r="N5" s="17">
        <f>IF(AND(ISNUMBER(J5),ISNUMBER(G5)),J5-G5,"")</f>
        <v/>
      </c>
      <c r="O5" s="14" t="inlineStr">
        <is>
          <t>Registrado el 2026-10-12 en la #36: durante el sprint no se anotaron las fechas. Ready = creación de las sub-issues en el Planning (2026-10-10), la fecha más probable. En análisis = primer commit de #69 (PR #82), la fecha más probable. Done = cierre real de #14. En atención y En validación no se registraron. Las devoluciones de la QA fueron de prueba, no del proceso.</t>
        </is>
      </c>
    </row>
    <row r="6">
      <c r="A6" t="inlineStr">
        <is>
          <t>HU-05</t>
        </is>
      </c>
      <c r="B6" t="inlineStr">
        <is>
          <t>Cambiar el estado del caso</t>
        </is>
      </c>
      <c r="C6" t="inlineStr">
        <is>
          <t>P1</t>
        </is>
      </c>
      <c r="D6" t="n">
        <v>5</v>
      </c>
      <c r="E6" s="26" t="n">
        <v>1</v>
      </c>
      <c r="F6" s="27" t="n"/>
      <c r="G6" s="27" t="n">
        <v>46304.487975</v>
      </c>
      <c r="H6" s="27" t="n"/>
      <c r="I6" s="27" t="n"/>
      <c r="J6" s="27" t="n">
        <v>46305.87482599537</v>
      </c>
      <c r="K6" s="26" t="n">
        <v>0</v>
      </c>
      <c r="L6" s="17">
        <f>SUMIF(Bloqueos!$C$2:$C$500,$A6,Bloqueos!$H$2:$H$500)</f>
        <v/>
      </c>
      <c r="M6" s="17">
        <f>IF(AND(ISNUMBER(J6),ISNUMBER(F6)),J6-F6,"")</f>
        <v/>
      </c>
      <c r="N6" s="17">
        <f>IF(AND(ISNUMBER(J6),ISNUMBER(G6)),J6-G6,"")</f>
        <v/>
      </c>
      <c r="O6" s="14" t="inlineStr">
        <is>
          <t>Registrado el 2026-10-10 en la #35: durante el sprint no se anotaron las fechas. En análisis = primer commit de #32 (PR #61), la fecha más probable. Done = cierre real de #15. Ready, En atención y En validación no se registraron.</t>
        </is>
      </c>
    </row>
    <row r="7">
      <c r="A7" t="inlineStr">
        <is>
          <t>HU-06</t>
        </is>
      </c>
      <c r="B7" t="inlineStr">
        <is>
          <t>Registrar diagnóstico y solución</t>
        </is>
      </c>
      <c r="C7" t="inlineStr">
        <is>
          <t>P1</t>
        </is>
      </c>
      <c r="D7" t="n">
        <v>5</v>
      </c>
      <c r="E7" s="26" t="n">
        <v>2</v>
      </c>
      <c r="F7" s="27" t="n">
        <v>46305.9424537037</v>
      </c>
      <c r="G7" s="27" t="n">
        <v>46306.80856481481</v>
      </c>
      <c r="H7" s="27" t="n"/>
      <c r="I7" s="27" t="n"/>
      <c r="J7" s="27" t="n">
        <v>46307.81807870371</v>
      </c>
      <c r="K7" s="26" t="n">
        <v>0</v>
      </c>
      <c r="L7" s="17">
        <f>SUMIF(Bloqueos!$C$2:$C$500,$A7,Bloqueos!$H$2:$H$500)</f>
        <v/>
      </c>
      <c r="M7" s="17">
        <f>IF(AND(ISNUMBER(J7),ISNUMBER(F7)),J7-F7,"")</f>
        <v/>
      </c>
      <c r="N7" s="17">
        <f>IF(AND(ISNUMBER(J7),ISNUMBER(G7)),J7-G7,"")</f>
        <v/>
      </c>
      <c r="O7" s="14" t="inlineStr">
        <is>
          <t>Registrado el 2026-10-12 en la #36: durante el sprint no se anotaron las fechas. Ready = creación de las sub-issues en el Planning (2026-10-10), la fecha más probable. En análisis = primer commit de #72 (PR #85), la fecha más probable. Done = cierre real de #16. En atención y En validación no se registraron. Las devoluciones de la QA fueron de prueba, no del proceso.</t>
        </is>
      </c>
    </row>
    <row r="8">
      <c r="A8" t="inlineStr">
        <is>
          <t>HU-07</t>
        </is>
      </c>
      <c r="B8" t="inlineStr">
        <is>
          <t>Aprobar o devolver una solución (validador)</t>
        </is>
      </c>
      <c r="C8" t="inlineStr">
        <is>
          <t>P1</t>
        </is>
      </c>
      <c r="D8" t="n">
        <v>5</v>
      </c>
      <c r="E8" s="26" t="n">
        <v>2</v>
      </c>
      <c r="F8" s="27" t="n">
        <v>46305.9424537037</v>
      </c>
      <c r="G8" s="27" t="n">
        <v>46306.81826388889</v>
      </c>
      <c r="H8" s="27" t="n"/>
      <c r="I8" s="27" t="n"/>
      <c r="J8" s="27" t="n">
        <v>46307.89780092592</v>
      </c>
      <c r="K8" s="26" t="n">
        <v>0</v>
      </c>
      <c r="L8" s="17">
        <f>SUMIF(Bloqueos!$C$2:$C$500,$A8,Bloqueos!$H$2:$H$500)</f>
        <v/>
      </c>
      <c r="M8" s="17">
        <f>IF(AND(ISNUMBER(J8),ISNUMBER(F8)),J8-F8,"")</f>
        <v/>
      </c>
      <c r="N8" s="17">
        <f>IF(AND(ISNUMBER(J8),ISNUMBER(G8)),J8-G8,"")</f>
        <v/>
      </c>
      <c r="O8" s="14" t="inlineStr">
        <is>
          <t>Registrado el 2026-10-12 en la #36: durante el sprint no se anotaron las fechas. Ready = creación de las sub-issues en el Planning (2026-10-10), la fecha más probable. En análisis = primer commit de #75 (PR #86), la fecha más probable. Done = cierre real de #17. En atención y En validación no se registraron. Las devoluciones de la QA fueron de prueba, no del proceso.</t>
        </is>
      </c>
    </row>
    <row r="9">
      <c r="A9" t="inlineStr">
        <is>
          <t>HU-08</t>
        </is>
      </c>
      <c r="B9" t="inlineStr">
        <is>
          <t>Consultar historial</t>
        </is>
      </c>
      <c r="C9" t="inlineStr">
        <is>
          <t>P2</t>
        </is>
      </c>
      <c r="D9" t="n">
        <v>5</v>
      </c>
      <c r="E9" s="26" t="n">
        <v>2</v>
      </c>
      <c r="F9" s="27" t="n">
        <v>46305.9424537037</v>
      </c>
      <c r="G9" s="27" t="n">
        <v>46306.30091435185</v>
      </c>
      <c r="H9" s="27" t="n"/>
      <c r="I9" s="27" t="n"/>
      <c r="J9" s="27" t="n">
        <v>46307.89790509259</v>
      </c>
      <c r="K9" s="26" t="n">
        <v>0</v>
      </c>
      <c r="L9" s="17">
        <f>SUMIF(Bloqueos!$C$2:$C$500,$A9,Bloqueos!$H$2:$H$500)</f>
        <v/>
      </c>
      <c r="M9" s="17">
        <f>IF(AND(ISNUMBER(J9),ISNUMBER(F9)),J9-F9,"")</f>
        <v/>
      </c>
      <c r="N9" s="17">
        <f>IF(AND(ISNUMBER(J9),ISNUMBER(G9)),J9-G9,"")</f>
        <v/>
      </c>
      <c r="O9" s="14" t="inlineStr">
        <is>
          <t>Registrado el 2026-10-12 en la #36: durante el sprint no se anotaron las fechas. Ready = creación de las sub-issues en el Planning (2026-10-10), la fecha más probable. En análisis = primer commit de #78 (PR #84), la fecha más probable. Done = cierre real de #18. En atención y En validación no se registraron. Las devoluciones de la QA fueron de prueba, no del proceso.</t>
        </is>
      </c>
    </row>
    <row r="10">
      <c r="A10" t="inlineStr">
        <is>
          <t>HU-09</t>
        </is>
      </c>
      <c r="B10" t="inlineStr">
        <is>
          <t>Filtrar casos (admin)</t>
        </is>
      </c>
      <c r="C10" t="inlineStr">
        <is>
          <t>P2</t>
        </is>
      </c>
      <c r="D10" t="n">
        <v>3</v>
      </c>
      <c r="E10" s="26" t="n">
        <v>3</v>
      </c>
      <c r="F10" s="27" t="n">
        <v>46307.93368055556</v>
      </c>
      <c r="G10" s="27" t="n">
        <v>46308.13244212963</v>
      </c>
      <c r="H10" s="27" t="n"/>
      <c r="I10" s="27" t="n"/>
      <c r="J10" s="27" t="n">
        <v>46308.36922453704</v>
      </c>
      <c r="K10" s="26" t="n">
        <v>0</v>
      </c>
      <c r="L10" s="17">
        <f>SUMIF(Bloqueos!$C$2:$C$500,$A10,Bloqueos!$H$2:$H$500)</f>
        <v/>
      </c>
      <c r="M10" s="17">
        <f>IF(AND(ISNUMBER(J10),ISNUMBER(F10)),J10-F10,"")</f>
        <v/>
      </c>
      <c r="N10" s="17">
        <f>IF(AND(ISNUMBER(J10),ISNUMBER(G10)),J10-G10,"")</f>
        <v/>
      </c>
      <c r="O10" s="14" t="inlineStr">
        <is>
          <t>Ready = creación de las sub-issues (#97, #98 y #99) en el Sprint 3 Planning, 2026-10-12, con la ficha refinada en docs/historias/. Registrado en la #37. Registrado el 2026-10-13 en la #37: durante el sprint no se anotaron las demás fechas. En análisis = primer commit de #97 (PR #111), la fecha más probable. Done = cierre real de #19. En atención y En validación no se registraron.</t>
        </is>
      </c>
    </row>
    <row r="11">
      <c r="A11" t="inlineStr">
        <is>
          <t>HU-10</t>
        </is>
      </c>
      <c r="B11" t="inlineStr">
        <is>
          <t>Indicadores (admin)</t>
        </is>
      </c>
      <c r="C11" t="inlineStr">
        <is>
          <t>P2</t>
        </is>
      </c>
      <c r="D11" t="n">
        <v>5</v>
      </c>
      <c r="E11" s="26" t="n">
        <v>3</v>
      </c>
      <c r="F11" s="27" t="n">
        <v>46307.93414351852</v>
      </c>
      <c r="G11" s="27" t="n">
        <v>46308.13940972222</v>
      </c>
      <c r="H11" s="27" t="n"/>
      <c r="I11" s="27" t="n"/>
      <c r="J11" s="27" t="n">
        <v>46308.37537037037</v>
      </c>
      <c r="K11" s="26" t="n">
        <v>0</v>
      </c>
      <c r="L11" s="17">
        <f>SUMIF(Bloqueos!$C$2:$C$500,$A11,Bloqueos!$H$2:$H$500)</f>
        <v/>
      </c>
      <c r="M11" s="17">
        <f>IF(AND(ISNUMBER(J11),ISNUMBER(F11)),J11-F11,"")</f>
        <v/>
      </c>
      <c r="N11" s="17">
        <f>IF(AND(ISNUMBER(J11),ISNUMBER(G11)),J11-G11,"")</f>
        <v/>
      </c>
      <c r="O11" s="14" t="inlineStr">
        <is>
          <t>Ready = creación de las sub-issues (#100, #101 y #102) en el Sprint 3 Planning, 2026-10-12, con la ficha refinada en docs/historias/. Registrado en la #37. Registrado el 2026-10-13 en la #37: durante el sprint no se anotaron las demás fechas. En análisis = primer commit de #100 (PR #112), la fecha más probable. Done = cierre real de #20. En atención y En validación no se registraron.</t>
        </is>
      </c>
    </row>
    <row r="12">
      <c r="A12" t="inlineStr">
        <is>
          <t>HU-11</t>
        </is>
      </c>
      <c r="B12" t="inlineStr">
        <is>
          <t>Gestionar categorías (admin)</t>
        </is>
      </c>
      <c r="C12" t="inlineStr">
        <is>
          <t>P2</t>
        </is>
      </c>
      <c r="D12" t="n">
        <v>3</v>
      </c>
      <c r="E12" s="26" t="n">
        <v>3</v>
      </c>
      <c r="F12" s="27" t="n">
        <v>46307.93440972222</v>
      </c>
      <c r="G12" s="27" t="n">
        <v>46308.1466087963</v>
      </c>
      <c r="H12" s="27" t="n"/>
      <c r="I12" s="27" t="n"/>
      <c r="J12" s="27" t="n">
        <v>46308.44297453704</v>
      </c>
      <c r="K12" s="26" t="n">
        <v>0</v>
      </c>
      <c r="L12" s="17">
        <f>SUMIF(Bloqueos!$C$2:$C$500,$A12,Bloqueos!$H$2:$H$500)</f>
        <v/>
      </c>
      <c r="M12" s="17">
        <f>IF(AND(ISNUMBER(J12),ISNUMBER(F12)),J12-F12,"")</f>
        <v/>
      </c>
      <c r="N12" s="17">
        <f>IF(AND(ISNUMBER(J12),ISNUMBER(G12)),J12-G12,"")</f>
        <v/>
      </c>
      <c r="O12" s="14" t="inlineStr">
        <is>
          <t>Ready = creación de las sub-issues (#103, #104 y #105) en el Sprint 3 Planning, 2026-10-12, con la ficha refinada en docs/historias/. Registrado en la #37. Registrado el 2026-10-13 en la #37: durante el sprint no se anotaron las demás fechas. En análisis = primer commit de #103 (PR #113), la fecha más probable. Done = cierre real de #21. En atención y En validación no se registraron.</t>
        </is>
      </c>
    </row>
    <row r="13">
      <c r="A13" t="inlineStr">
        <is>
          <t>HU-12</t>
        </is>
      </c>
      <c r="B13" t="inlineStr">
        <is>
          <t>Detalle de mi caso y la solución (solicitante)</t>
        </is>
      </c>
      <c r="C13" t="inlineStr">
        <is>
          <t>P3</t>
        </is>
      </c>
      <c r="D13" t="n">
        <v>3</v>
      </c>
      <c r="E13" s="26" t="n">
        <v>3</v>
      </c>
      <c r="F13" s="27" t="n">
        <v>46307.93466435185</v>
      </c>
      <c r="G13" s="27" t="n">
        <v>46308.15221064815</v>
      </c>
      <c r="H13" s="27" t="n"/>
      <c r="I13" s="27" t="n"/>
      <c r="J13" s="27" t="n">
        <v>46308.44291666667</v>
      </c>
      <c r="K13" s="26" t="n">
        <v>0</v>
      </c>
      <c r="L13" s="17">
        <f>SUMIF(Bloqueos!$C$2:$C$500,$A13,Bloqueos!$H$2:$H$500)</f>
        <v/>
      </c>
      <c r="M13" s="17">
        <f>IF(AND(ISNUMBER(J13),ISNUMBER(F13)),J13-F13,"")</f>
        <v/>
      </c>
      <c r="N13" s="17">
        <f>IF(AND(ISNUMBER(J13),ISNUMBER(G13)),J13-G13,"")</f>
        <v/>
      </c>
      <c r="O13" s="14" t="inlineStr">
        <is>
          <t>Ready = creación de las sub-issues (#106, #107 y #108) en el Sprint 3 Planning, 2026-10-12, con la ficha refinada en docs/historias/. Registrado en la #37. Registrado el 2026-10-13 en la #37: durante el sprint no se anotaron las demás fechas. En análisis = primer commit de #106 (PR #114), la fecha más probable. Done = cierre real de #22. En atención y En validación no se registraron.</t>
        </is>
      </c>
    </row>
  </sheetData>
  <dataValidations count="2">
    <dataValidation sqref="C2:C13" showDropDown="0" showInputMessage="0" showErrorMessage="0" allowBlank="1" type="list">
      <formula1>"P1,P2,P3"</formula1>
    </dataValidation>
    <dataValidation sqref="E2:E13" showDropDown="0" showInputMessage="0" showErrorMessage="0" allowBlank="1" type="list">
      <formula1>"0,1,2,3"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3" customWidth="1" style="4" min="1" max="1"/>
    <col width="8" customWidth="1" min="2" max="2"/>
    <col width="10" customWidth="1" min="3" max="3"/>
    <col width="8" customWidth="1" min="4" max="4"/>
    <col width="11" customWidth="1" min="5" max="7"/>
    <col width="8" customWidth="1" min="8" max="8"/>
    <col width="10" customWidth="1" min="9" max="9"/>
    <col width="34" customWidth="1" min="10" max="10"/>
    <col width="44" customWidth="1" min="11" max="11"/>
  </cols>
  <sheetData>
    <row r="1" ht="36" customFormat="1" customHeight="1" s="8">
      <c r="A1" s="9" t="inlineStr">
        <is>
          <t>Fecha (Daily)</t>
        </is>
      </c>
      <c r="B1" s="8" t="inlineStr">
        <is>
          <t>Sprint</t>
        </is>
      </c>
      <c r="C1" s="8" t="inlineStr">
        <is>
          <t>Product Backlog</t>
        </is>
      </c>
      <c r="D1" s="8" t="inlineStr">
        <is>
          <t>Ready</t>
        </is>
      </c>
      <c r="E1" s="8" t="inlineStr">
        <is>
          <t>En análisis (máx. 3)</t>
        </is>
      </c>
      <c r="F1" s="8" t="inlineStr">
        <is>
          <t>En atención (máx. 3)</t>
        </is>
      </c>
      <c r="G1" s="8" t="inlineStr">
        <is>
          <t>En validación (máx. 2)</t>
        </is>
      </c>
      <c r="H1" s="8" t="inlineStr">
        <is>
          <t>Done</t>
        </is>
      </c>
      <c r="I1" s="8" t="inlineStr">
        <is>
          <t>¿Respeta WIP?</t>
        </is>
      </c>
      <c r="J1" s="8" t="inlineStr">
        <is>
          <t>Captura del tablero</t>
        </is>
      </c>
      <c r="K1" s="8" t="inlineStr">
        <is>
          <t>Observaciones</t>
        </is>
      </c>
    </row>
    <row r="2">
      <c r="A2" s="13" t="n"/>
      <c r="B2" s="15">
        <f>IF(A2="","",IFERROR(LOOKUP(INT(A2),'Resumen por sprint'!$C$2:$C$5,'Resumen por sprint'!$A$2:$A$5),""))</f>
        <v/>
      </c>
      <c r="C2" s="26" t="n"/>
      <c r="D2" s="26" t="n"/>
      <c r="E2" s="26" t="n"/>
      <c r="F2" s="26" t="n"/>
      <c r="G2" s="26" t="n"/>
      <c r="H2" s="26" t="n"/>
      <c r="I2" s="15">
        <f>IF(A2="","",IF(AND(E2&lt;=3,F2&lt;=3,G2&lt;=2),"Sí","No"))</f>
        <v/>
      </c>
      <c r="J2" s="26" t="n"/>
      <c r="K2" s="26" t="n"/>
    </row>
    <row r="3">
      <c r="A3" s="13" t="n"/>
      <c r="B3" s="15">
        <f>IF(A3="","",IFERROR(LOOKUP(INT(A3),'Resumen por sprint'!$C$2:$C$5,'Resumen por sprint'!$A$2:$A$5),""))</f>
        <v/>
      </c>
      <c r="C3" s="26" t="n"/>
      <c r="D3" s="26" t="n"/>
      <c r="E3" s="26" t="n"/>
      <c r="F3" s="26" t="n"/>
      <c r="G3" s="26" t="n"/>
      <c r="H3" s="26" t="n"/>
      <c r="I3" s="15">
        <f>IF(A3="","",IF(AND(E3&lt;=3,F3&lt;=3,G3&lt;=2),"Sí","No"))</f>
        <v/>
      </c>
      <c r="J3" s="26" t="n"/>
      <c r="K3" s="26" t="n"/>
    </row>
    <row r="4">
      <c r="A4" s="13" t="n"/>
      <c r="B4" s="15">
        <f>IF(A4="","",IFERROR(LOOKUP(INT(A4),'Resumen por sprint'!$C$2:$C$5,'Resumen por sprint'!$A$2:$A$5),""))</f>
        <v/>
      </c>
      <c r="C4" s="26" t="n"/>
      <c r="D4" s="26" t="n"/>
      <c r="E4" s="26" t="n"/>
      <c r="F4" s="26" t="n"/>
      <c r="G4" s="26" t="n"/>
      <c r="H4" s="26" t="n"/>
      <c r="I4" s="15">
        <f>IF(A4="","",IF(AND(E4&lt;=3,F4&lt;=3,G4&lt;=2),"Sí","No"))</f>
        <v/>
      </c>
      <c r="J4" s="26" t="n"/>
      <c r="K4" s="26" t="n"/>
    </row>
    <row r="5">
      <c r="A5" s="13" t="n"/>
      <c r="B5" s="15">
        <f>IF(A5="","",IFERROR(LOOKUP(INT(A5),'Resumen por sprint'!$C$2:$C$5,'Resumen por sprint'!$A$2:$A$5),""))</f>
        <v/>
      </c>
      <c r="C5" s="26" t="n"/>
      <c r="D5" s="26" t="n"/>
      <c r="E5" s="26" t="n"/>
      <c r="F5" s="26" t="n"/>
      <c r="G5" s="26" t="n"/>
      <c r="H5" s="26" t="n"/>
      <c r="I5" s="15">
        <f>IF(A5="","",IF(AND(E5&lt;=3,F5&lt;=3,G5&lt;=2),"Sí","No"))</f>
        <v/>
      </c>
      <c r="J5" s="26" t="n"/>
      <c r="K5" s="26" t="n"/>
    </row>
    <row r="6">
      <c r="A6" s="13" t="n"/>
      <c r="B6" s="15">
        <f>IF(A6="","",IFERROR(LOOKUP(INT(A6),'Resumen por sprint'!$C$2:$C$5,'Resumen por sprint'!$A$2:$A$5),""))</f>
        <v/>
      </c>
      <c r="C6" s="26" t="n"/>
      <c r="D6" s="26" t="n"/>
      <c r="E6" s="26" t="n"/>
      <c r="F6" s="26" t="n"/>
      <c r="G6" s="26" t="n"/>
      <c r="H6" s="26" t="n"/>
      <c r="I6" s="15">
        <f>IF(A6="","",IF(AND(E6&lt;=3,F6&lt;=3,G6&lt;=2),"Sí","No"))</f>
        <v/>
      </c>
      <c r="J6" s="26" t="n"/>
      <c r="K6" s="26" t="n"/>
    </row>
    <row r="7">
      <c r="A7" s="13" t="n"/>
      <c r="B7" s="15">
        <f>IF(A7="","",IFERROR(LOOKUP(INT(A7),'Resumen por sprint'!$C$2:$C$5,'Resumen por sprint'!$A$2:$A$5),""))</f>
        <v/>
      </c>
      <c r="C7" s="26" t="n"/>
      <c r="D7" s="26" t="n"/>
      <c r="E7" s="26" t="n"/>
      <c r="F7" s="26" t="n"/>
      <c r="G7" s="26" t="n"/>
      <c r="H7" s="26" t="n"/>
      <c r="I7" s="15">
        <f>IF(A7="","",IF(AND(E7&lt;=3,F7&lt;=3,G7&lt;=2),"Sí","No"))</f>
        <v/>
      </c>
      <c r="J7" s="26" t="n"/>
      <c r="K7" s="26" t="n"/>
    </row>
    <row r="8">
      <c r="A8" s="13" t="n"/>
      <c r="B8" s="15">
        <f>IF(A8="","",IFERROR(LOOKUP(INT(A8),'Resumen por sprint'!$C$2:$C$5,'Resumen por sprint'!$A$2:$A$5),""))</f>
        <v/>
      </c>
      <c r="C8" s="26" t="n"/>
      <c r="D8" s="26" t="n"/>
      <c r="E8" s="26" t="n"/>
      <c r="F8" s="26" t="n"/>
      <c r="G8" s="26" t="n"/>
      <c r="H8" s="26" t="n"/>
      <c r="I8" s="15">
        <f>IF(A8="","",IF(AND(E8&lt;=3,F8&lt;=3,G8&lt;=2),"Sí","No"))</f>
        <v/>
      </c>
      <c r="J8" s="26" t="n"/>
      <c r="K8" s="26" t="n"/>
    </row>
    <row r="9">
      <c r="A9" s="13" t="n"/>
      <c r="B9" s="15">
        <f>IF(A9="","",IFERROR(LOOKUP(INT(A9),'Resumen por sprint'!$C$2:$C$5,'Resumen por sprint'!$A$2:$A$5),""))</f>
        <v/>
      </c>
      <c r="C9" s="26" t="n"/>
      <c r="D9" s="26" t="n"/>
      <c r="E9" s="26" t="n"/>
      <c r="F9" s="26" t="n"/>
      <c r="G9" s="26" t="n"/>
      <c r="H9" s="26" t="n"/>
      <c r="I9" s="15">
        <f>IF(A9="","",IF(AND(E9&lt;=3,F9&lt;=3,G9&lt;=2),"Sí","No"))</f>
        <v/>
      </c>
      <c r="J9" s="26" t="n"/>
      <c r="K9" s="26" t="n"/>
    </row>
    <row r="10">
      <c r="A10" s="13" t="n"/>
      <c r="B10" s="15">
        <f>IF(A10="","",IFERROR(LOOKUP(INT(A10),'Resumen por sprint'!$C$2:$C$5,'Resumen por sprint'!$A$2:$A$5),""))</f>
        <v/>
      </c>
      <c r="C10" s="26" t="n"/>
      <c r="D10" s="26" t="n"/>
      <c r="E10" s="26" t="n"/>
      <c r="F10" s="26" t="n"/>
      <c r="G10" s="26" t="n"/>
      <c r="H10" s="26" t="n"/>
      <c r="I10" s="15">
        <f>IF(A10="","",IF(AND(E10&lt;=3,F10&lt;=3,G10&lt;=2),"Sí","No"))</f>
        <v/>
      </c>
      <c r="J10" s="26" t="n"/>
      <c r="K10" s="26" t="n"/>
    </row>
    <row r="11">
      <c r="A11" s="13" t="n"/>
      <c r="B11" s="15">
        <f>IF(A11="","",IFERROR(LOOKUP(INT(A11),'Resumen por sprint'!$C$2:$C$5,'Resumen por sprint'!$A$2:$A$5),""))</f>
        <v/>
      </c>
      <c r="C11" s="26" t="n"/>
      <c r="D11" s="26" t="n"/>
      <c r="E11" s="26" t="n"/>
      <c r="F11" s="26" t="n"/>
      <c r="G11" s="26" t="n"/>
      <c r="H11" s="26" t="n"/>
      <c r="I11" s="15">
        <f>IF(A11="","",IF(AND(E11&lt;=3,F11&lt;=3,G11&lt;=2),"Sí","No"))</f>
        <v/>
      </c>
      <c r="J11" s="26" t="n"/>
      <c r="K11" s="26" t="n"/>
    </row>
    <row r="12">
      <c r="A12" s="13" t="n"/>
      <c r="B12" s="15">
        <f>IF(A12="","",IFERROR(LOOKUP(INT(A12),'Resumen por sprint'!$C$2:$C$5,'Resumen por sprint'!$A$2:$A$5),""))</f>
        <v/>
      </c>
      <c r="C12" s="26" t="n"/>
      <c r="D12" s="26" t="n"/>
      <c r="E12" s="26" t="n"/>
      <c r="F12" s="26" t="n"/>
      <c r="G12" s="26" t="n"/>
      <c r="H12" s="26" t="n"/>
      <c r="I12" s="15">
        <f>IF(A12="","",IF(AND(E12&lt;=3,F12&lt;=3,G12&lt;=2),"Sí","No"))</f>
        <v/>
      </c>
      <c r="J12" s="26" t="n"/>
      <c r="K12" s="26" t="n"/>
    </row>
    <row r="13">
      <c r="A13" s="13" t="n"/>
      <c r="B13" s="15">
        <f>IF(A13="","",IFERROR(LOOKUP(INT(A13),'Resumen por sprint'!$C$2:$C$5,'Resumen por sprint'!$A$2:$A$5),""))</f>
        <v/>
      </c>
      <c r="C13" s="26" t="n"/>
      <c r="D13" s="26" t="n"/>
      <c r="E13" s="26" t="n"/>
      <c r="F13" s="26" t="n"/>
      <c r="G13" s="26" t="n"/>
      <c r="H13" s="26" t="n"/>
      <c r="I13" s="15">
        <f>IF(A13="","",IF(AND(E13&lt;=3,F13&lt;=3,G13&lt;=2),"Sí","No"))</f>
        <v/>
      </c>
      <c r="J13" s="26" t="n"/>
      <c r="K13" s="26" t="n"/>
    </row>
    <row r="14">
      <c r="A14" s="13" t="n"/>
      <c r="B14" s="15">
        <f>IF(A14="","",IFERROR(LOOKUP(INT(A14),'Resumen por sprint'!$C$2:$C$5,'Resumen por sprint'!$A$2:$A$5),""))</f>
        <v/>
      </c>
      <c r="C14" s="26" t="n"/>
      <c r="D14" s="26" t="n"/>
      <c r="E14" s="26" t="n"/>
      <c r="F14" s="26" t="n"/>
      <c r="G14" s="26" t="n"/>
      <c r="H14" s="26" t="n"/>
      <c r="I14" s="15">
        <f>IF(A14="","",IF(AND(E14&lt;=3,F14&lt;=3,G14&lt;=2),"Sí","No"))</f>
        <v/>
      </c>
      <c r="J14" s="26" t="n"/>
      <c r="K14" s="26" t="n"/>
    </row>
    <row r="15">
      <c r="A15" s="13" t="n"/>
      <c r="B15" s="15">
        <f>IF(A15="","",IFERROR(LOOKUP(INT(A15),'Resumen por sprint'!$C$2:$C$5,'Resumen por sprint'!$A$2:$A$5),""))</f>
        <v/>
      </c>
      <c r="C15" s="26" t="n"/>
      <c r="D15" s="26" t="n"/>
      <c r="E15" s="26" t="n"/>
      <c r="F15" s="26" t="n"/>
      <c r="G15" s="26" t="n"/>
      <c r="H15" s="26" t="n"/>
      <c r="I15" s="15">
        <f>IF(A15="","",IF(AND(E15&lt;=3,F15&lt;=3,G15&lt;=2),"Sí","No"))</f>
        <v/>
      </c>
      <c r="J15" s="26" t="n"/>
      <c r="K15" s="26" t="n"/>
    </row>
    <row r="16">
      <c r="A16" s="13" t="n"/>
      <c r="B16" s="15">
        <f>IF(A16="","",IFERROR(LOOKUP(INT(A16),'Resumen por sprint'!$C$2:$C$5,'Resumen por sprint'!$A$2:$A$5),""))</f>
        <v/>
      </c>
      <c r="C16" s="26" t="n"/>
      <c r="D16" s="26" t="n"/>
      <c r="E16" s="26" t="n"/>
      <c r="F16" s="26" t="n"/>
      <c r="G16" s="26" t="n"/>
      <c r="H16" s="26" t="n"/>
      <c r="I16" s="15">
        <f>IF(A16="","",IF(AND(E16&lt;=3,F16&lt;=3,G16&lt;=2),"Sí","No"))</f>
        <v/>
      </c>
      <c r="J16" s="26" t="n"/>
      <c r="K16" s="26" t="n"/>
    </row>
    <row r="17">
      <c r="A17" s="13" t="n"/>
      <c r="B17" s="15">
        <f>IF(A17="","",IFERROR(LOOKUP(INT(A17),'Resumen por sprint'!$C$2:$C$5,'Resumen por sprint'!$A$2:$A$5),""))</f>
        <v/>
      </c>
      <c r="C17" s="26" t="n"/>
      <c r="D17" s="26" t="n"/>
      <c r="E17" s="26" t="n"/>
      <c r="F17" s="26" t="n"/>
      <c r="G17" s="26" t="n"/>
      <c r="H17" s="26" t="n"/>
      <c r="I17" s="15">
        <f>IF(A17="","",IF(AND(E17&lt;=3,F17&lt;=3,G17&lt;=2),"Sí","No"))</f>
        <v/>
      </c>
      <c r="J17" s="26" t="n"/>
      <c r="K17" s="26" t="n"/>
    </row>
    <row r="18">
      <c r="A18" s="13" t="n"/>
      <c r="B18" s="15">
        <f>IF(A18="","",IFERROR(LOOKUP(INT(A18),'Resumen por sprint'!$C$2:$C$5,'Resumen por sprint'!$A$2:$A$5),""))</f>
        <v/>
      </c>
      <c r="C18" s="26" t="n"/>
      <c r="D18" s="26" t="n"/>
      <c r="E18" s="26" t="n"/>
      <c r="F18" s="26" t="n"/>
      <c r="G18" s="26" t="n"/>
      <c r="H18" s="26" t="n"/>
      <c r="I18" s="15">
        <f>IF(A18="","",IF(AND(E18&lt;=3,F18&lt;=3,G18&lt;=2),"Sí","No"))</f>
        <v/>
      </c>
      <c r="J18" s="26" t="n"/>
      <c r="K18" s="26" t="n"/>
    </row>
    <row r="19">
      <c r="A19" s="13" t="n"/>
      <c r="B19" s="15">
        <f>IF(A19="","",IFERROR(LOOKUP(INT(A19),'Resumen por sprint'!$C$2:$C$5,'Resumen por sprint'!$A$2:$A$5),""))</f>
        <v/>
      </c>
      <c r="C19" s="26" t="n"/>
      <c r="D19" s="26" t="n"/>
      <c r="E19" s="26" t="n"/>
      <c r="F19" s="26" t="n"/>
      <c r="G19" s="26" t="n"/>
      <c r="H19" s="26" t="n"/>
      <c r="I19" s="15">
        <f>IF(A19="","",IF(AND(E19&lt;=3,F19&lt;=3,G19&lt;=2),"Sí","No"))</f>
        <v/>
      </c>
      <c r="J19" s="26" t="n"/>
      <c r="K19" s="26" t="n"/>
    </row>
    <row r="20">
      <c r="A20" s="13" t="n"/>
      <c r="B20" s="15">
        <f>IF(A20="","",IFERROR(LOOKUP(INT(A20),'Resumen por sprint'!$C$2:$C$5,'Resumen por sprint'!$A$2:$A$5),""))</f>
        <v/>
      </c>
      <c r="C20" s="26" t="n"/>
      <c r="D20" s="26" t="n"/>
      <c r="E20" s="26" t="n"/>
      <c r="F20" s="26" t="n"/>
      <c r="G20" s="26" t="n"/>
      <c r="H20" s="26" t="n"/>
      <c r="I20" s="15">
        <f>IF(A20="","",IF(AND(E20&lt;=3,F20&lt;=3,G20&lt;=2),"Sí","No"))</f>
        <v/>
      </c>
      <c r="J20" s="26" t="n"/>
      <c r="K20" s="26" t="n"/>
    </row>
    <row r="21">
      <c r="A21" s="13" t="n"/>
      <c r="B21" s="15">
        <f>IF(A21="","",IFERROR(LOOKUP(INT(A21),'Resumen por sprint'!$C$2:$C$5,'Resumen por sprint'!$A$2:$A$5),""))</f>
        <v/>
      </c>
      <c r="C21" s="26" t="n"/>
      <c r="D21" s="26" t="n"/>
      <c r="E21" s="26" t="n"/>
      <c r="F21" s="26" t="n"/>
      <c r="G21" s="26" t="n"/>
      <c r="H21" s="26" t="n"/>
      <c r="I21" s="15">
        <f>IF(A21="","",IF(AND(E21&lt;=3,F21&lt;=3,G21&lt;=2),"Sí","No"))</f>
        <v/>
      </c>
      <c r="J21" s="26" t="n"/>
      <c r="K21" s="26" t="n"/>
    </row>
    <row r="22">
      <c r="A22" s="13" t="n"/>
      <c r="B22" s="15">
        <f>IF(A22="","",IFERROR(LOOKUP(INT(A22),'Resumen por sprint'!$C$2:$C$5,'Resumen por sprint'!$A$2:$A$5),""))</f>
        <v/>
      </c>
      <c r="C22" s="26" t="n"/>
      <c r="D22" s="26" t="n"/>
      <c r="E22" s="26" t="n"/>
      <c r="F22" s="26" t="n"/>
      <c r="G22" s="26" t="n"/>
      <c r="H22" s="26" t="n"/>
      <c r="I22" s="15">
        <f>IF(A22="","",IF(AND(E22&lt;=3,F22&lt;=3,G22&lt;=2),"Sí","No"))</f>
        <v/>
      </c>
      <c r="J22" s="26" t="n"/>
      <c r="K22" s="26" t="n"/>
    </row>
    <row r="23">
      <c r="A23" s="13" t="n"/>
      <c r="B23" s="15">
        <f>IF(A23="","",IFERROR(LOOKUP(INT(A23),'Resumen por sprint'!$C$2:$C$5,'Resumen por sprint'!$A$2:$A$5),""))</f>
        <v/>
      </c>
      <c r="C23" s="26" t="n"/>
      <c r="D23" s="26" t="n"/>
      <c r="E23" s="26" t="n"/>
      <c r="F23" s="26" t="n"/>
      <c r="G23" s="26" t="n"/>
      <c r="H23" s="26" t="n"/>
      <c r="I23" s="15">
        <f>IF(A23="","",IF(AND(E23&lt;=3,F23&lt;=3,G23&lt;=2),"Sí","No"))</f>
        <v/>
      </c>
      <c r="J23" s="26" t="n"/>
      <c r="K23" s="26" t="n"/>
    </row>
    <row r="24">
      <c r="A24" s="13" t="n"/>
      <c r="B24" s="15">
        <f>IF(A24="","",IFERROR(LOOKUP(INT(A24),'Resumen por sprint'!$C$2:$C$5,'Resumen por sprint'!$A$2:$A$5),""))</f>
        <v/>
      </c>
      <c r="C24" s="26" t="n"/>
      <c r="D24" s="26" t="n"/>
      <c r="E24" s="26" t="n"/>
      <c r="F24" s="26" t="n"/>
      <c r="G24" s="26" t="n"/>
      <c r="H24" s="26" t="n"/>
      <c r="I24" s="15">
        <f>IF(A24="","",IF(AND(E24&lt;=3,F24&lt;=3,G24&lt;=2),"Sí","No"))</f>
        <v/>
      </c>
      <c r="J24" s="26" t="n"/>
      <c r="K24" s="26" t="n"/>
    </row>
    <row r="25">
      <c r="A25" s="13" t="n"/>
      <c r="B25" s="15">
        <f>IF(A25="","",IFERROR(LOOKUP(INT(A25),'Resumen por sprint'!$C$2:$C$5,'Resumen por sprint'!$A$2:$A$5),""))</f>
        <v/>
      </c>
      <c r="C25" s="26" t="n"/>
      <c r="D25" s="26" t="n"/>
      <c r="E25" s="26" t="n"/>
      <c r="F25" s="26" t="n"/>
      <c r="G25" s="26" t="n"/>
      <c r="H25" s="26" t="n"/>
      <c r="I25" s="15">
        <f>IF(A25="","",IF(AND(E25&lt;=3,F25&lt;=3,G25&lt;=2),"Sí","No"))</f>
        <v/>
      </c>
      <c r="J25" s="26" t="n"/>
      <c r="K25" s="26" t="n"/>
    </row>
    <row r="26">
      <c r="A26" s="13" t="n"/>
      <c r="B26" s="15">
        <f>IF(A26="","",IFERROR(LOOKUP(INT(A26),'Resumen por sprint'!$C$2:$C$5,'Resumen por sprint'!$A$2:$A$5),""))</f>
        <v/>
      </c>
      <c r="C26" s="26" t="n"/>
      <c r="D26" s="26" t="n"/>
      <c r="E26" s="26" t="n"/>
      <c r="F26" s="26" t="n"/>
      <c r="G26" s="26" t="n"/>
      <c r="H26" s="26" t="n"/>
      <c r="I26" s="15">
        <f>IF(A26="","",IF(AND(E26&lt;=3,F26&lt;=3,G26&lt;=2),"Sí","No"))</f>
        <v/>
      </c>
      <c r="J26" s="26" t="n"/>
      <c r="K26" s="26" t="n"/>
    </row>
    <row r="27">
      <c r="A27" s="13" t="n"/>
      <c r="B27" s="15">
        <f>IF(A27="","",IFERROR(LOOKUP(INT(A27),'Resumen por sprint'!$C$2:$C$5,'Resumen por sprint'!$A$2:$A$5),""))</f>
        <v/>
      </c>
      <c r="C27" s="26" t="n"/>
      <c r="D27" s="26" t="n"/>
      <c r="E27" s="26" t="n"/>
      <c r="F27" s="26" t="n"/>
      <c r="G27" s="26" t="n"/>
      <c r="H27" s="26" t="n"/>
      <c r="I27" s="15">
        <f>IF(A27="","",IF(AND(E27&lt;=3,F27&lt;=3,G27&lt;=2),"Sí","No"))</f>
        <v/>
      </c>
      <c r="J27" s="26" t="n"/>
      <c r="K27" s="26" t="n"/>
    </row>
    <row r="28">
      <c r="A28" s="13" t="n"/>
      <c r="B28" s="15">
        <f>IF(A28="","",IFERROR(LOOKUP(INT(A28),'Resumen por sprint'!$C$2:$C$5,'Resumen por sprint'!$A$2:$A$5),""))</f>
        <v/>
      </c>
      <c r="C28" s="26" t="n"/>
      <c r="D28" s="26" t="n"/>
      <c r="E28" s="26" t="n"/>
      <c r="F28" s="26" t="n"/>
      <c r="G28" s="26" t="n"/>
      <c r="H28" s="26" t="n"/>
      <c r="I28" s="15">
        <f>IF(A28="","",IF(AND(E28&lt;=3,F28&lt;=3,G28&lt;=2),"Sí","No"))</f>
        <v/>
      </c>
      <c r="J28" s="26" t="n"/>
      <c r="K28" s="26" t="n"/>
    </row>
    <row r="29">
      <c r="A29" s="13" t="n"/>
      <c r="B29" s="15">
        <f>IF(A29="","",IFERROR(LOOKUP(INT(A29),'Resumen por sprint'!$C$2:$C$5,'Resumen por sprint'!$A$2:$A$5),""))</f>
        <v/>
      </c>
      <c r="C29" s="26" t="n"/>
      <c r="D29" s="26" t="n"/>
      <c r="E29" s="26" t="n"/>
      <c r="F29" s="26" t="n"/>
      <c r="G29" s="26" t="n"/>
      <c r="H29" s="26" t="n"/>
      <c r="I29" s="15">
        <f>IF(A29="","",IF(AND(E29&lt;=3,F29&lt;=3,G29&lt;=2),"Sí","No"))</f>
        <v/>
      </c>
      <c r="J29" s="26" t="n"/>
      <c r="K29" s="26" t="n"/>
    </row>
    <row r="30">
      <c r="A30" s="13" t="n"/>
      <c r="B30" s="15">
        <f>IF(A30="","",IFERROR(LOOKUP(INT(A30),'Resumen por sprint'!$C$2:$C$5,'Resumen por sprint'!$A$2:$A$5),""))</f>
        <v/>
      </c>
      <c r="C30" s="26" t="n"/>
      <c r="D30" s="26" t="n"/>
      <c r="E30" s="26" t="n"/>
      <c r="F30" s="26" t="n"/>
      <c r="G30" s="26" t="n"/>
      <c r="H30" s="26" t="n"/>
      <c r="I30" s="15">
        <f>IF(A30="","",IF(AND(E30&lt;=3,F30&lt;=3,G30&lt;=2),"Sí","No"))</f>
        <v/>
      </c>
      <c r="J30" s="26" t="n"/>
      <c r="K30" s="26" t="n"/>
    </row>
    <row r="31">
      <c r="A31" s="13" t="n"/>
      <c r="B31" s="15">
        <f>IF(A31="","",IFERROR(LOOKUP(INT(A31),'Resumen por sprint'!$C$2:$C$5,'Resumen por sprint'!$A$2:$A$5),""))</f>
        <v/>
      </c>
      <c r="C31" s="26" t="n"/>
      <c r="D31" s="26" t="n"/>
      <c r="E31" s="26" t="n"/>
      <c r="F31" s="26" t="n"/>
      <c r="G31" s="26" t="n"/>
      <c r="H31" s="26" t="n"/>
      <c r="I31" s="15">
        <f>IF(A31="","",IF(AND(E31&lt;=3,F31&lt;=3,G31&lt;=2),"Sí","No"))</f>
        <v/>
      </c>
      <c r="J31" s="26" t="n"/>
      <c r="K31" s="26" t="n"/>
    </row>
    <row r="32">
      <c r="A32" s="13" t="n"/>
      <c r="B32" s="15">
        <f>IF(A32="","",IFERROR(LOOKUP(INT(A32),'Resumen por sprint'!$C$2:$C$5,'Resumen por sprint'!$A$2:$A$5),""))</f>
        <v/>
      </c>
      <c r="C32" s="26" t="n"/>
      <c r="D32" s="26" t="n"/>
      <c r="E32" s="26" t="n"/>
      <c r="F32" s="26" t="n"/>
      <c r="G32" s="26" t="n"/>
      <c r="H32" s="26" t="n"/>
      <c r="I32" s="15">
        <f>IF(A32="","",IF(AND(E32&lt;=3,F32&lt;=3,G32&lt;=2),"Sí","No"))</f>
        <v/>
      </c>
      <c r="J32" s="26" t="n"/>
      <c r="K32" s="26" t="n"/>
    </row>
    <row r="33">
      <c r="A33" s="13" t="n"/>
      <c r="B33" s="15">
        <f>IF(A33="","",IFERROR(LOOKUP(INT(A33),'Resumen por sprint'!$C$2:$C$5,'Resumen por sprint'!$A$2:$A$5),""))</f>
        <v/>
      </c>
      <c r="C33" s="26" t="n"/>
      <c r="D33" s="26" t="n"/>
      <c r="E33" s="26" t="n"/>
      <c r="F33" s="26" t="n"/>
      <c r="G33" s="26" t="n"/>
      <c r="H33" s="26" t="n"/>
      <c r="I33" s="15">
        <f>IF(A33="","",IF(AND(E33&lt;=3,F33&lt;=3,G33&lt;=2),"Sí","No"))</f>
        <v/>
      </c>
      <c r="J33" s="26" t="n"/>
      <c r="K33" s="26" t="n"/>
    </row>
    <row r="34">
      <c r="A34" s="13" t="n"/>
      <c r="B34" s="15">
        <f>IF(A34="","",IFERROR(LOOKUP(INT(A34),'Resumen por sprint'!$C$2:$C$5,'Resumen por sprint'!$A$2:$A$5),""))</f>
        <v/>
      </c>
      <c r="C34" s="26" t="n"/>
      <c r="D34" s="26" t="n"/>
      <c r="E34" s="26" t="n"/>
      <c r="F34" s="26" t="n"/>
      <c r="G34" s="26" t="n"/>
      <c r="H34" s="26" t="n"/>
      <c r="I34" s="15">
        <f>IF(A34="","",IF(AND(E34&lt;=3,F34&lt;=3,G34&lt;=2),"Sí","No"))</f>
        <v/>
      </c>
      <c r="J34" s="26" t="n"/>
      <c r="K34" s="26" t="n"/>
    </row>
    <row r="35">
      <c r="A35" s="13" t="n"/>
      <c r="B35" s="15">
        <f>IF(A35="","",IFERROR(LOOKUP(INT(A35),'Resumen por sprint'!$C$2:$C$5,'Resumen por sprint'!$A$2:$A$5),""))</f>
        <v/>
      </c>
      <c r="C35" s="26" t="n"/>
      <c r="D35" s="26" t="n"/>
      <c r="E35" s="26" t="n"/>
      <c r="F35" s="26" t="n"/>
      <c r="G35" s="26" t="n"/>
      <c r="H35" s="26" t="n"/>
      <c r="I35" s="15">
        <f>IF(A35="","",IF(AND(E35&lt;=3,F35&lt;=3,G35&lt;=2),"Sí","No"))</f>
        <v/>
      </c>
      <c r="J35" s="26" t="n"/>
      <c r="K35" s="26" t="n"/>
    </row>
    <row r="36">
      <c r="A36" s="13" t="n"/>
      <c r="B36" s="15">
        <f>IF(A36="","",IFERROR(LOOKUP(INT(A36),'Resumen por sprint'!$C$2:$C$5,'Resumen por sprint'!$A$2:$A$5),""))</f>
        <v/>
      </c>
      <c r="C36" s="26" t="n"/>
      <c r="D36" s="26" t="n"/>
      <c r="E36" s="26" t="n"/>
      <c r="F36" s="26" t="n"/>
      <c r="G36" s="26" t="n"/>
      <c r="H36" s="26" t="n"/>
      <c r="I36" s="15">
        <f>IF(A36="","",IF(AND(E36&lt;=3,F36&lt;=3,G36&lt;=2),"Sí","No"))</f>
        <v/>
      </c>
      <c r="J36" s="26" t="n"/>
      <c r="K36" s="26" t="n"/>
    </row>
    <row r="37">
      <c r="A37" s="13" t="n"/>
      <c r="B37" s="15">
        <f>IF(A37="","",IFERROR(LOOKUP(INT(A37),'Resumen por sprint'!$C$2:$C$5,'Resumen por sprint'!$A$2:$A$5),""))</f>
        <v/>
      </c>
      <c r="C37" s="26" t="n"/>
      <c r="D37" s="26" t="n"/>
      <c r="E37" s="26" t="n"/>
      <c r="F37" s="26" t="n"/>
      <c r="G37" s="26" t="n"/>
      <c r="H37" s="26" t="n"/>
      <c r="I37" s="15">
        <f>IF(A37="","",IF(AND(E37&lt;=3,F37&lt;=3,G37&lt;=2),"Sí","No"))</f>
        <v/>
      </c>
      <c r="J37" s="26" t="n"/>
      <c r="K37" s="26" t="n"/>
    </row>
    <row r="38">
      <c r="A38" s="13" t="n"/>
      <c r="B38" s="15">
        <f>IF(A38="","",IFERROR(LOOKUP(INT(A38),'Resumen por sprint'!$C$2:$C$5,'Resumen por sprint'!$A$2:$A$5),""))</f>
        <v/>
      </c>
      <c r="C38" s="26" t="n"/>
      <c r="D38" s="26" t="n"/>
      <c r="E38" s="26" t="n"/>
      <c r="F38" s="26" t="n"/>
      <c r="G38" s="26" t="n"/>
      <c r="H38" s="26" t="n"/>
      <c r="I38" s="15">
        <f>IF(A38="","",IF(AND(E38&lt;=3,F38&lt;=3,G38&lt;=2),"Sí","No"))</f>
        <v/>
      </c>
      <c r="J38" s="26" t="n"/>
      <c r="K38" s="26" t="n"/>
    </row>
    <row r="39">
      <c r="A39" s="13" t="n"/>
      <c r="B39" s="15">
        <f>IF(A39="","",IFERROR(LOOKUP(INT(A39),'Resumen por sprint'!$C$2:$C$5,'Resumen por sprint'!$A$2:$A$5),""))</f>
        <v/>
      </c>
      <c r="C39" s="26" t="n"/>
      <c r="D39" s="26" t="n"/>
      <c r="E39" s="26" t="n"/>
      <c r="F39" s="26" t="n"/>
      <c r="G39" s="26" t="n"/>
      <c r="H39" s="26" t="n"/>
      <c r="I39" s="15">
        <f>IF(A39="","",IF(AND(E39&lt;=3,F39&lt;=3,G39&lt;=2),"Sí","No"))</f>
        <v/>
      </c>
      <c r="J39" s="26" t="n"/>
      <c r="K39" s="26" t="n"/>
    </row>
    <row r="40">
      <c r="A40" s="13" t="n"/>
      <c r="B40" s="15">
        <f>IF(A40="","",IFERROR(LOOKUP(INT(A40),'Resumen por sprint'!$C$2:$C$5,'Resumen por sprint'!$A$2:$A$5),""))</f>
        <v/>
      </c>
      <c r="C40" s="26" t="n"/>
      <c r="D40" s="26" t="n"/>
      <c r="E40" s="26" t="n"/>
      <c r="F40" s="26" t="n"/>
      <c r="G40" s="26" t="n"/>
      <c r="H40" s="26" t="n"/>
      <c r="I40" s="15">
        <f>IF(A40="","",IF(AND(E40&lt;=3,F40&lt;=3,G40&lt;=2),"Sí","No"))</f>
        <v/>
      </c>
      <c r="J40" s="26" t="n"/>
      <c r="K40" s="26" t="n"/>
    </row>
    <row r="41">
      <c r="A41" s="13" t="n"/>
      <c r="B41" s="15">
        <f>IF(A41="","",IFERROR(LOOKUP(INT(A41),'Resumen por sprint'!$C$2:$C$5,'Resumen por sprint'!$A$2:$A$5),""))</f>
        <v/>
      </c>
      <c r="C41" s="26" t="n"/>
      <c r="D41" s="26" t="n"/>
      <c r="E41" s="26" t="n"/>
      <c r="F41" s="26" t="n"/>
      <c r="G41" s="26" t="n"/>
      <c r="H41" s="26" t="n"/>
      <c r="I41" s="15">
        <f>IF(A41="","",IF(AND(E41&lt;=3,F41&lt;=3,G41&lt;=2),"Sí","No"))</f>
        <v/>
      </c>
      <c r="J41" s="26" t="n"/>
      <c r="K41" s="26" t="n"/>
    </row>
    <row r="42">
      <c r="A42" s="13" t="n"/>
      <c r="B42" s="15">
        <f>IF(A42="","",IFERROR(LOOKUP(INT(A42),'Resumen por sprint'!$C$2:$C$5,'Resumen por sprint'!$A$2:$A$5),""))</f>
        <v/>
      </c>
      <c r="C42" s="26" t="n"/>
      <c r="D42" s="26" t="n"/>
      <c r="E42" s="26" t="n"/>
      <c r="F42" s="26" t="n"/>
      <c r="G42" s="26" t="n"/>
      <c r="H42" s="26" t="n"/>
      <c r="I42" s="15">
        <f>IF(A42="","",IF(AND(E42&lt;=3,F42&lt;=3,G42&lt;=2),"Sí","No"))</f>
        <v/>
      </c>
      <c r="J42" s="26" t="n"/>
      <c r="K42" s="26" t="n"/>
    </row>
    <row r="43">
      <c r="A43" s="13" t="n"/>
      <c r="B43" s="15">
        <f>IF(A43="","",IFERROR(LOOKUP(INT(A43),'Resumen por sprint'!$C$2:$C$5,'Resumen por sprint'!$A$2:$A$5),""))</f>
        <v/>
      </c>
      <c r="C43" s="26" t="n"/>
      <c r="D43" s="26" t="n"/>
      <c r="E43" s="26" t="n"/>
      <c r="F43" s="26" t="n"/>
      <c r="G43" s="26" t="n"/>
      <c r="H43" s="26" t="n"/>
      <c r="I43" s="15">
        <f>IF(A43="","",IF(AND(E43&lt;=3,F43&lt;=3,G43&lt;=2),"Sí","No"))</f>
        <v/>
      </c>
      <c r="J43" s="26" t="n"/>
      <c r="K43" s="26" t="n"/>
    </row>
    <row r="44">
      <c r="A44" s="13" t="n"/>
      <c r="B44" s="15">
        <f>IF(A44="","",IFERROR(LOOKUP(INT(A44),'Resumen por sprint'!$C$2:$C$5,'Resumen por sprint'!$A$2:$A$5),""))</f>
        <v/>
      </c>
      <c r="C44" s="26" t="n"/>
      <c r="D44" s="26" t="n"/>
      <c r="E44" s="26" t="n"/>
      <c r="F44" s="26" t="n"/>
      <c r="G44" s="26" t="n"/>
      <c r="H44" s="26" t="n"/>
      <c r="I44" s="15">
        <f>IF(A44="","",IF(AND(E44&lt;=3,F44&lt;=3,G44&lt;=2),"Sí","No"))</f>
        <v/>
      </c>
      <c r="J44" s="26" t="n"/>
      <c r="K44" s="26" t="n"/>
    </row>
    <row r="45">
      <c r="A45" s="13" t="n"/>
      <c r="B45" s="15">
        <f>IF(A45="","",IFERROR(LOOKUP(INT(A45),'Resumen por sprint'!$C$2:$C$5,'Resumen por sprint'!$A$2:$A$5),""))</f>
        <v/>
      </c>
      <c r="C45" s="26" t="n"/>
      <c r="D45" s="26" t="n"/>
      <c r="E45" s="26" t="n"/>
      <c r="F45" s="26" t="n"/>
      <c r="G45" s="26" t="n"/>
      <c r="H45" s="26" t="n"/>
      <c r="I45" s="15">
        <f>IF(A45="","",IF(AND(E45&lt;=3,F45&lt;=3,G45&lt;=2),"Sí","No"))</f>
        <v/>
      </c>
      <c r="J45" s="26" t="n"/>
      <c r="K45" s="26" t="n"/>
    </row>
    <row r="46">
      <c r="A46" s="13" t="n"/>
      <c r="B46" s="15">
        <f>IF(A46="","",IFERROR(LOOKUP(INT(A46),'Resumen por sprint'!$C$2:$C$5,'Resumen por sprint'!$A$2:$A$5),""))</f>
        <v/>
      </c>
      <c r="C46" s="26" t="n"/>
      <c r="D46" s="26" t="n"/>
      <c r="E46" s="26" t="n"/>
      <c r="F46" s="26" t="n"/>
      <c r="G46" s="26" t="n"/>
      <c r="H46" s="26" t="n"/>
      <c r="I46" s="15">
        <f>IF(A46="","",IF(AND(E46&lt;=3,F46&lt;=3,G46&lt;=2),"Sí","No"))</f>
        <v/>
      </c>
      <c r="J46" s="26" t="n"/>
      <c r="K46" s="26" t="n"/>
    </row>
    <row r="47">
      <c r="A47" s="13" t="n"/>
      <c r="B47" s="15">
        <f>IF(A47="","",IFERROR(LOOKUP(INT(A47),'Resumen por sprint'!$C$2:$C$5,'Resumen por sprint'!$A$2:$A$5),""))</f>
        <v/>
      </c>
      <c r="C47" s="26" t="n"/>
      <c r="D47" s="26" t="n"/>
      <c r="E47" s="26" t="n"/>
      <c r="F47" s="26" t="n"/>
      <c r="G47" s="26" t="n"/>
      <c r="H47" s="26" t="n"/>
      <c r="I47" s="15">
        <f>IF(A47="","",IF(AND(E47&lt;=3,F47&lt;=3,G47&lt;=2),"Sí","No"))</f>
        <v/>
      </c>
      <c r="J47" s="26" t="n"/>
      <c r="K47" s="26" t="n"/>
    </row>
    <row r="48">
      <c r="A48" s="13" t="n"/>
      <c r="B48" s="15">
        <f>IF(A48="","",IFERROR(LOOKUP(INT(A48),'Resumen por sprint'!$C$2:$C$5,'Resumen por sprint'!$A$2:$A$5),""))</f>
        <v/>
      </c>
      <c r="C48" s="26" t="n"/>
      <c r="D48" s="26" t="n"/>
      <c r="E48" s="26" t="n"/>
      <c r="F48" s="26" t="n"/>
      <c r="G48" s="26" t="n"/>
      <c r="H48" s="26" t="n"/>
      <c r="I48" s="15">
        <f>IF(A48="","",IF(AND(E48&lt;=3,F48&lt;=3,G48&lt;=2),"Sí","No"))</f>
        <v/>
      </c>
      <c r="J48" s="26" t="n"/>
      <c r="K48" s="26" t="n"/>
    </row>
    <row r="49">
      <c r="A49" s="13" t="n"/>
      <c r="B49" s="15">
        <f>IF(A49="","",IFERROR(LOOKUP(INT(A49),'Resumen por sprint'!$C$2:$C$5,'Resumen por sprint'!$A$2:$A$5),""))</f>
        <v/>
      </c>
      <c r="C49" s="26" t="n"/>
      <c r="D49" s="26" t="n"/>
      <c r="E49" s="26" t="n"/>
      <c r="F49" s="26" t="n"/>
      <c r="G49" s="26" t="n"/>
      <c r="H49" s="26" t="n"/>
      <c r="I49" s="15">
        <f>IF(A49="","",IF(AND(E49&lt;=3,F49&lt;=3,G49&lt;=2),"Sí","No"))</f>
        <v/>
      </c>
      <c r="J49" s="26" t="n"/>
      <c r="K49" s="26" t="n"/>
    </row>
    <row r="50">
      <c r="A50" s="13" t="n"/>
      <c r="B50" s="15">
        <f>IF(A50="","",IFERROR(LOOKUP(INT(A50),'Resumen por sprint'!$C$2:$C$5,'Resumen por sprint'!$A$2:$A$5),""))</f>
        <v/>
      </c>
      <c r="C50" s="26" t="n"/>
      <c r="D50" s="26" t="n"/>
      <c r="E50" s="26" t="n"/>
      <c r="F50" s="26" t="n"/>
      <c r="G50" s="26" t="n"/>
      <c r="H50" s="26" t="n"/>
      <c r="I50" s="15">
        <f>IF(A50="","",IF(AND(E50&lt;=3,F50&lt;=3,G50&lt;=2),"Sí","No"))</f>
        <v/>
      </c>
      <c r="J50" s="26" t="n"/>
      <c r="K50" s="26" t="n"/>
    </row>
    <row r="51">
      <c r="A51" s="13" t="n"/>
      <c r="B51" s="15">
        <f>IF(A51="","",IFERROR(LOOKUP(INT(A51),'Resumen por sprint'!$C$2:$C$5,'Resumen por sprint'!$A$2:$A$5),""))</f>
        <v/>
      </c>
      <c r="C51" s="26" t="n"/>
      <c r="D51" s="26" t="n"/>
      <c r="E51" s="26" t="n"/>
      <c r="F51" s="26" t="n"/>
      <c r="G51" s="26" t="n"/>
      <c r="H51" s="26" t="n"/>
      <c r="I51" s="15">
        <f>IF(A51="","",IF(AND(E51&lt;=3,F51&lt;=3,G51&lt;=2),"Sí","No"))</f>
        <v/>
      </c>
      <c r="J51" s="26" t="n"/>
      <c r="K51" s="26" t="n"/>
    </row>
    <row r="52">
      <c r="A52" s="13" t="n"/>
      <c r="B52" s="15">
        <f>IF(A52="","",IFERROR(LOOKUP(INT(A52),'Resumen por sprint'!$C$2:$C$5,'Resumen por sprint'!$A$2:$A$5),""))</f>
        <v/>
      </c>
      <c r="C52" s="26" t="n"/>
      <c r="D52" s="26" t="n"/>
      <c r="E52" s="26" t="n"/>
      <c r="F52" s="26" t="n"/>
      <c r="G52" s="26" t="n"/>
      <c r="H52" s="26" t="n"/>
      <c r="I52" s="15">
        <f>IF(A52="","",IF(AND(E52&lt;=3,F52&lt;=3,G52&lt;=2),"Sí","No"))</f>
        <v/>
      </c>
      <c r="J52" s="26" t="n"/>
      <c r="K52" s="26" t="n"/>
    </row>
    <row r="53">
      <c r="A53" s="13" t="n"/>
      <c r="B53" s="15">
        <f>IF(A53="","",IFERROR(LOOKUP(INT(A53),'Resumen por sprint'!$C$2:$C$5,'Resumen por sprint'!$A$2:$A$5),""))</f>
        <v/>
      </c>
      <c r="C53" s="26" t="n"/>
      <c r="D53" s="26" t="n"/>
      <c r="E53" s="26" t="n"/>
      <c r="F53" s="26" t="n"/>
      <c r="G53" s="26" t="n"/>
      <c r="H53" s="26" t="n"/>
      <c r="I53" s="15">
        <f>IF(A53="","",IF(AND(E53&lt;=3,F53&lt;=3,G53&lt;=2),"Sí","No"))</f>
        <v/>
      </c>
      <c r="J53" s="26" t="n"/>
      <c r="K53" s="26" t="n"/>
    </row>
    <row r="54">
      <c r="A54" s="13" t="n"/>
      <c r="B54" s="15">
        <f>IF(A54="","",IFERROR(LOOKUP(INT(A54),'Resumen por sprint'!$C$2:$C$5,'Resumen por sprint'!$A$2:$A$5),""))</f>
        <v/>
      </c>
      <c r="C54" s="26" t="n"/>
      <c r="D54" s="26" t="n"/>
      <c r="E54" s="26" t="n"/>
      <c r="F54" s="26" t="n"/>
      <c r="G54" s="26" t="n"/>
      <c r="H54" s="26" t="n"/>
      <c r="I54" s="15">
        <f>IF(A54="","",IF(AND(E54&lt;=3,F54&lt;=3,G54&lt;=2),"Sí","No"))</f>
        <v/>
      </c>
      <c r="J54" s="26" t="n"/>
      <c r="K54" s="26" t="n"/>
    </row>
    <row r="55">
      <c r="A55" s="13" t="n"/>
      <c r="B55" s="15">
        <f>IF(A55="","",IFERROR(LOOKUP(INT(A55),'Resumen por sprint'!$C$2:$C$5,'Resumen por sprint'!$A$2:$A$5),""))</f>
        <v/>
      </c>
      <c r="C55" s="26" t="n"/>
      <c r="D55" s="26" t="n"/>
      <c r="E55" s="26" t="n"/>
      <c r="F55" s="26" t="n"/>
      <c r="G55" s="26" t="n"/>
      <c r="H55" s="26" t="n"/>
      <c r="I55" s="15">
        <f>IF(A55="","",IF(AND(E55&lt;=3,F55&lt;=3,G55&lt;=2),"Sí","No"))</f>
        <v/>
      </c>
      <c r="J55" s="26" t="n"/>
      <c r="K55" s="26" t="n"/>
    </row>
    <row r="56">
      <c r="A56" s="13" t="n"/>
      <c r="B56" s="15">
        <f>IF(A56="","",IFERROR(LOOKUP(INT(A56),'Resumen por sprint'!$C$2:$C$5,'Resumen por sprint'!$A$2:$A$5),""))</f>
        <v/>
      </c>
      <c r="C56" s="26" t="n"/>
      <c r="D56" s="26" t="n"/>
      <c r="E56" s="26" t="n"/>
      <c r="F56" s="26" t="n"/>
      <c r="G56" s="26" t="n"/>
      <c r="H56" s="26" t="n"/>
      <c r="I56" s="15">
        <f>IF(A56="","",IF(AND(E56&lt;=3,F56&lt;=3,G56&lt;=2),"Sí","No"))</f>
        <v/>
      </c>
      <c r="J56" s="26" t="n"/>
      <c r="K56" s="26" t="n"/>
    </row>
    <row r="57">
      <c r="A57" s="13" t="n"/>
      <c r="B57" s="15">
        <f>IF(A57="","",IFERROR(LOOKUP(INT(A57),'Resumen por sprint'!$C$2:$C$5,'Resumen por sprint'!$A$2:$A$5),""))</f>
        <v/>
      </c>
      <c r="C57" s="26" t="n"/>
      <c r="D57" s="26" t="n"/>
      <c r="E57" s="26" t="n"/>
      <c r="F57" s="26" t="n"/>
      <c r="G57" s="26" t="n"/>
      <c r="H57" s="26" t="n"/>
      <c r="I57" s="15">
        <f>IF(A57="","",IF(AND(E57&lt;=3,F57&lt;=3,G57&lt;=2),"Sí","No"))</f>
        <v/>
      </c>
      <c r="J57" s="26" t="n"/>
      <c r="K57" s="26" t="n"/>
    </row>
    <row r="58">
      <c r="A58" s="13" t="n"/>
      <c r="B58" s="15">
        <f>IF(A58="","",IFERROR(LOOKUP(INT(A58),'Resumen por sprint'!$C$2:$C$5,'Resumen por sprint'!$A$2:$A$5),""))</f>
        <v/>
      </c>
      <c r="C58" s="26" t="n"/>
      <c r="D58" s="26" t="n"/>
      <c r="E58" s="26" t="n"/>
      <c r="F58" s="26" t="n"/>
      <c r="G58" s="26" t="n"/>
      <c r="H58" s="26" t="n"/>
      <c r="I58" s="15">
        <f>IF(A58="","",IF(AND(E58&lt;=3,F58&lt;=3,G58&lt;=2),"Sí","No"))</f>
        <v/>
      </c>
      <c r="J58" s="26" t="n"/>
      <c r="K58" s="26" t="n"/>
    </row>
    <row r="59">
      <c r="A59" s="13" t="n"/>
      <c r="B59" s="15">
        <f>IF(A59="","",IFERROR(LOOKUP(INT(A59),'Resumen por sprint'!$C$2:$C$5,'Resumen por sprint'!$A$2:$A$5),""))</f>
        <v/>
      </c>
      <c r="C59" s="26" t="n"/>
      <c r="D59" s="26" t="n"/>
      <c r="E59" s="26" t="n"/>
      <c r="F59" s="26" t="n"/>
      <c r="G59" s="26" t="n"/>
      <c r="H59" s="26" t="n"/>
      <c r="I59" s="15">
        <f>IF(A59="","",IF(AND(E59&lt;=3,F59&lt;=3,G59&lt;=2),"Sí","No"))</f>
        <v/>
      </c>
      <c r="J59" s="26" t="n"/>
      <c r="K59" s="26" t="n"/>
    </row>
    <row r="60">
      <c r="A60" s="13" t="n"/>
      <c r="B60" s="15">
        <f>IF(A60="","",IFERROR(LOOKUP(INT(A60),'Resumen por sprint'!$C$2:$C$5,'Resumen por sprint'!$A$2:$A$5),""))</f>
        <v/>
      </c>
      <c r="C60" s="26" t="n"/>
      <c r="D60" s="26" t="n"/>
      <c r="E60" s="26" t="n"/>
      <c r="F60" s="26" t="n"/>
      <c r="G60" s="26" t="n"/>
      <c r="H60" s="26" t="n"/>
      <c r="I60" s="15">
        <f>IF(A60="","",IF(AND(E60&lt;=3,F60&lt;=3,G60&lt;=2),"Sí","No"))</f>
        <v/>
      </c>
      <c r="J60" s="26" t="n"/>
      <c r="K60" s="26" t="n"/>
    </row>
    <row r="61">
      <c r="A61" s="13" t="n"/>
      <c r="B61" s="15">
        <f>IF(A61="","",IFERROR(LOOKUP(INT(A61),'Resumen por sprint'!$C$2:$C$5,'Resumen por sprint'!$A$2:$A$5),""))</f>
        <v/>
      </c>
      <c r="C61" s="26" t="n"/>
      <c r="D61" s="26" t="n"/>
      <c r="E61" s="26" t="n"/>
      <c r="F61" s="26" t="n"/>
      <c r="G61" s="26" t="n"/>
      <c r="H61" s="26" t="n"/>
      <c r="I61" s="15">
        <f>IF(A61="","",IF(AND(E61&lt;=3,F61&lt;=3,G61&lt;=2),"Sí","No"))</f>
        <v/>
      </c>
      <c r="J61" s="26" t="n"/>
      <c r="K61" s="26" t="n"/>
    </row>
  </sheetData>
  <conditionalFormatting sqref="I2:I61">
    <cfRule type="cellIs" priority="1" operator="equal" dxfId="0">
      <formula>"No"</formula>
    </cfRule>
  </conditionalFormatting>
  <pageMargins left="0.7" right="0.7" top="0.75" bottom="0.75" header="0.3" footer="0.3"/>
  <pageSetup orientation="portrait" scale="100" fitToHeight="1" fitToWidth="1" horizontalDpi="4294967295" verticalDpi="429496729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2" max="4"/>
    <col width="40" customWidth="1" style="5" min="5" max="5"/>
    <col width="16" customWidth="1" style="24" min="6" max="7"/>
    <col width="8" customWidth="1" style="7" min="8" max="8"/>
    <col width="34" customWidth="1" style="5" min="9" max="9"/>
    <col width="16" customWidth="1" min="10" max="10"/>
    <col width="10" customWidth="1" min="11" max="11"/>
  </cols>
  <sheetData>
    <row r="1" ht="36" customFormat="1" customHeight="1" s="8">
      <c r="A1" s="8" t="inlineStr">
        <is>
          <t>ID</t>
        </is>
      </c>
      <c r="B1" s="8" t="inlineStr">
        <is>
          <t>Sprint</t>
        </is>
      </c>
      <c r="C1" s="8" t="inlineStr">
        <is>
          <t>HU</t>
        </is>
      </c>
      <c r="D1" s="8" t="inlineStr">
        <is>
          <t>Issue</t>
        </is>
      </c>
      <c r="E1" s="10" t="inlineStr">
        <is>
          <t>Motivo</t>
        </is>
      </c>
      <c r="F1" s="25" t="inlineStr">
        <is>
          <t>Inicio</t>
        </is>
      </c>
      <c r="G1" s="25" t="inlineStr">
        <is>
          <t>Fin</t>
        </is>
      </c>
      <c r="H1" s="12" t="inlineStr">
        <is>
          <t>Días</t>
        </is>
      </c>
      <c r="I1" s="10" t="inlineStr">
        <is>
          <t>Impacto</t>
        </is>
      </c>
      <c r="J1" s="8" t="inlineStr">
        <is>
          <t>Responsable de resolverlo</t>
        </is>
      </c>
      <c r="K1" s="8" t="inlineStr">
        <is>
          <t>Estado</t>
        </is>
      </c>
    </row>
    <row r="2">
      <c r="A2" s="26" t="n"/>
      <c r="B2" s="26" t="n"/>
      <c r="C2" s="26" t="n"/>
      <c r="D2" s="26" t="n"/>
      <c r="E2" s="14" t="n"/>
      <c r="F2" s="27" t="n"/>
      <c r="G2" s="27" t="n"/>
      <c r="H2" s="17">
        <f>IF(ISNUMBER(F2),IF(ISNUMBER(G2),G2-F2,NOW()-F2),"")</f>
        <v/>
      </c>
      <c r="I2" s="14" t="n"/>
      <c r="J2" s="26" t="n"/>
      <c r="K2" s="15">
        <f>IF(ISNUMBER(F2),IF(ISNUMBER(G2),"Resuelto","Abierto"),"")</f>
        <v/>
      </c>
    </row>
    <row r="3">
      <c r="A3" s="26" t="n"/>
      <c r="B3" s="26" t="n"/>
      <c r="C3" s="26" t="n"/>
      <c r="D3" s="26" t="n"/>
      <c r="E3" s="14" t="n"/>
      <c r="F3" s="27" t="n"/>
      <c r="G3" s="27" t="n"/>
      <c r="H3" s="17">
        <f>IF(ISNUMBER(F3),IF(ISNUMBER(G3),G3-F3,NOW()-F3),"")</f>
        <v/>
      </c>
      <c r="I3" s="14" t="n"/>
      <c r="J3" s="26" t="n"/>
      <c r="K3" s="15">
        <f>IF(ISNUMBER(F3),IF(ISNUMBER(G3),"Resuelto","Abierto"),"")</f>
        <v/>
      </c>
    </row>
    <row r="4">
      <c r="A4" s="26" t="n"/>
      <c r="B4" s="26" t="n"/>
      <c r="C4" s="26" t="n"/>
      <c r="D4" s="26" t="n"/>
      <c r="E4" s="14" t="n"/>
      <c r="F4" s="27" t="n"/>
      <c r="G4" s="27" t="n"/>
      <c r="H4" s="17">
        <f>IF(ISNUMBER(F4),IF(ISNUMBER(G4),G4-F4,NOW()-F4),"")</f>
        <v/>
      </c>
      <c r="I4" s="14" t="n"/>
      <c r="J4" s="26" t="n"/>
      <c r="K4" s="15">
        <f>IF(ISNUMBER(F4),IF(ISNUMBER(G4),"Resuelto","Abierto"),"")</f>
        <v/>
      </c>
    </row>
    <row r="5">
      <c r="A5" s="26" t="n"/>
      <c r="B5" s="26" t="n"/>
      <c r="C5" s="26" t="n"/>
      <c r="D5" s="26" t="n"/>
      <c r="E5" s="14" t="n"/>
      <c r="F5" s="27" t="n"/>
      <c r="G5" s="27" t="n"/>
      <c r="H5" s="17">
        <f>IF(ISNUMBER(F5),IF(ISNUMBER(G5),G5-F5,NOW()-F5),"")</f>
        <v/>
      </c>
      <c r="I5" s="14" t="n"/>
      <c r="J5" s="26" t="n"/>
      <c r="K5" s="15">
        <f>IF(ISNUMBER(F5),IF(ISNUMBER(G5),"Resuelto","Abierto"),"")</f>
        <v/>
      </c>
    </row>
    <row r="6">
      <c r="A6" s="26" t="n"/>
      <c r="B6" s="26" t="n"/>
      <c r="C6" s="26" t="n"/>
      <c r="D6" s="26" t="n"/>
      <c r="E6" s="14" t="n"/>
      <c r="F6" s="27" t="n"/>
      <c r="G6" s="27" t="n"/>
      <c r="H6" s="17">
        <f>IF(ISNUMBER(F6),IF(ISNUMBER(G6),G6-F6,NOW()-F6),"")</f>
        <v/>
      </c>
      <c r="I6" s="14" t="n"/>
      <c r="J6" s="26" t="n"/>
      <c r="K6" s="15">
        <f>IF(ISNUMBER(F6),IF(ISNUMBER(G6),"Resuelto","Abierto"),"")</f>
        <v/>
      </c>
    </row>
    <row r="7">
      <c r="A7" s="26" t="n"/>
      <c r="B7" s="26" t="n"/>
      <c r="C7" s="26" t="n"/>
      <c r="D7" s="26" t="n"/>
      <c r="E7" s="14" t="n"/>
      <c r="F7" s="27" t="n"/>
      <c r="G7" s="27" t="n"/>
      <c r="H7" s="17">
        <f>IF(ISNUMBER(F7),IF(ISNUMBER(G7),G7-F7,NOW()-F7),"")</f>
        <v/>
      </c>
      <c r="I7" s="14" t="n"/>
      <c r="J7" s="26" t="n"/>
      <c r="K7" s="15">
        <f>IF(ISNUMBER(F7),IF(ISNUMBER(G7),"Resuelto","Abierto"),"")</f>
        <v/>
      </c>
    </row>
    <row r="8">
      <c r="A8" s="26" t="n"/>
      <c r="B8" s="26" t="n"/>
      <c r="C8" s="26" t="n"/>
      <c r="D8" s="26" t="n"/>
      <c r="E8" s="14" t="n"/>
      <c r="F8" s="27" t="n"/>
      <c r="G8" s="27" t="n"/>
      <c r="H8" s="17">
        <f>IF(ISNUMBER(F8),IF(ISNUMBER(G8),G8-F8,NOW()-F8),"")</f>
        <v/>
      </c>
      <c r="I8" s="14" t="n"/>
      <c r="J8" s="26" t="n"/>
      <c r="K8" s="15">
        <f>IF(ISNUMBER(F8),IF(ISNUMBER(G8),"Resuelto","Abierto"),"")</f>
        <v/>
      </c>
    </row>
    <row r="9">
      <c r="A9" s="26" t="n"/>
      <c r="B9" s="26" t="n"/>
      <c r="C9" s="26" t="n"/>
      <c r="D9" s="26" t="n"/>
      <c r="E9" s="14" t="n"/>
      <c r="F9" s="27" t="n"/>
      <c r="G9" s="27" t="n"/>
      <c r="H9" s="17">
        <f>IF(ISNUMBER(F9),IF(ISNUMBER(G9),G9-F9,NOW()-F9),"")</f>
        <v/>
      </c>
      <c r="I9" s="14" t="n"/>
      <c r="J9" s="26" t="n"/>
      <c r="K9" s="15">
        <f>IF(ISNUMBER(F9),IF(ISNUMBER(G9),"Resuelto","Abierto"),"")</f>
        <v/>
      </c>
    </row>
    <row r="10">
      <c r="A10" s="26" t="n"/>
      <c r="B10" s="26" t="n"/>
      <c r="C10" s="26" t="n"/>
      <c r="D10" s="26" t="n"/>
      <c r="E10" s="14" t="n"/>
      <c r="F10" s="27" t="n"/>
      <c r="G10" s="27" t="n"/>
      <c r="H10" s="17">
        <f>IF(ISNUMBER(F10),IF(ISNUMBER(G10),G10-F10,NOW()-F10),"")</f>
        <v/>
      </c>
      <c r="I10" s="14" t="n"/>
      <c r="J10" s="26" t="n"/>
      <c r="K10" s="15">
        <f>IF(ISNUMBER(F10),IF(ISNUMBER(G10),"Resuelto","Abierto"),"")</f>
        <v/>
      </c>
    </row>
    <row r="11">
      <c r="A11" s="26" t="n"/>
      <c r="B11" s="26" t="n"/>
      <c r="C11" s="26" t="n"/>
      <c r="D11" s="26" t="n"/>
      <c r="E11" s="14" t="n"/>
      <c r="F11" s="27" t="n"/>
      <c r="G11" s="27" t="n"/>
      <c r="H11" s="17">
        <f>IF(ISNUMBER(F11),IF(ISNUMBER(G11),G11-F11,NOW()-F11),"")</f>
        <v/>
      </c>
      <c r="I11" s="14" t="n"/>
      <c r="J11" s="26" t="n"/>
      <c r="K11" s="15">
        <f>IF(ISNUMBER(F11),IF(ISNUMBER(G11),"Resuelto","Abierto"),"")</f>
        <v/>
      </c>
    </row>
    <row r="12">
      <c r="A12" s="26" t="n"/>
      <c r="B12" s="26" t="n"/>
      <c r="C12" s="26" t="n"/>
      <c r="D12" s="26" t="n"/>
      <c r="E12" s="14" t="n"/>
      <c r="F12" s="27" t="n"/>
      <c r="G12" s="27" t="n"/>
      <c r="H12" s="17">
        <f>IF(ISNUMBER(F12),IF(ISNUMBER(G12),G12-F12,NOW()-F12),"")</f>
        <v/>
      </c>
      <c r="I12" s="14" t="n"/>
      <c r="J12" s="26" t="n"/>
      <c r="K12" s="15">
        <f>IF(ISNUMBER(F12),IF(ISNUMBER(G12),"Resuelto","Abierto"),"")</f>
        <v/>
      </c>
    </row>
    <row r="13">
      <c r="A13" s="26" t="n"/>
      <c r="B13" s="26" t="n"/>
      <c r="C13" s="26" t="n"/>
      <c r="D13" s="26" t="n"/>
      <c r="E13" s="14" t="n"/>
      <c r="F13" s="27" t="n"/>
      <c r="G13" s="27" t="n"/>
      <c r="H13" s="17">
        <f>IF(ISNUMBER(F13),IF(ISNUMBER(G13),G13-F13,NOW()-F13),"")</f>
        <v/>
      </c>
      <c r="I13" s="14" t="n"/>
      <c r="J13" s="26" t="n"/>
      <c r="K13" s="15">
        <f>IF(ISNUMBER(F13),IF(ISNUMBER(G13),"Resuelto","Abierto"),"")</f>
        <v/>
      </c>
    </row>
    <row r="14">
      <c r="A14" s="26" t="n"/>
      <c r="B14" s="26" t="n"/>
      <c r="C14" s="26" t="n"/>
      <c r="D14" s="26" t="n"/>
      <c r="E14" s="14" t="n"/>
      <c r="F14" s="27" t="n"/>
      <c r="G14" s="27" t="n"/>
      <c r="H14" s="17">
        <f>IF(ISNUMBER(F14),IF(ISNUMBER(G14),G14-F14,NOW()-F14),"")</f>
        <v/>
      </c>
      <c r="I14" s="14" t="n"/>
      <c r="J14" s="26" t="n"/>
      <c r="K14" s="15">
        <f>IF(ISNUMBER(F14),IF(ISNUMBER(G14),"Resuelto","Abierto"),"")</f>
        <v/>
      </c>
    </row>
    <row r="15">
      <c r="A15" s="26" t="n"/>
      <c r="B15" s="26" t="n"/>
      <c r="C15" s="26" t="n"/>
      <c r="D15" s="26" t="n"/>
      <c r="E15" s="14" t="n"/>
      <c r="F15" s="27" t="n"/>
      <c r="G15" s="27" t="n"/>
      <c r="H15" s="17">
        <f>IF(ISNUMBER(F15),IF(ISNUMBER(G15),G15-F15,NOW()-F15),"")</f>
        <v/>
      </c>
      <c r="I15" s="14" t="n"/>
      <c r="J15" s="26" t="n"/>
      <c r="K15" s="15">
        <f>IF(ISNUMBER(F15),IF(ISNUMBER(G15),"Resuelto","Abierto"),"")</f>
        <v/>
      </c>
    </row>
    <row r="16">
      <c r="A16" s="26" t="n"/>
      <c r="B16" s="26" t="n"/>
      <c r="C16" s="26" t="n"/>
      <c r="D16" s="26" t="n"/>
      <c r="E16" s="14" t="n"/>
      <c r="F16" s="27" t="n"/>
      <c r="G16" s="27" t="n"/>
      <c r="H16" s="17">
        <f>IF(ISNUMBER(F16),IF(ISNUMBER(G16),G16-F16,NOW()-F16),"")</f>
        <v/>
      </c>
      <c r="I16" s="14" t="n"/>
      <c r="J16" s="26" t="n"/>
      <c r="K16" s="15">
        <f>IF(ISNUMBER(F16),IF(ISNUMBER(G16),"Resuelto","Abierto"),"")</f>
        <v/>
      </c>
    </row>
    <row r="17">
      <c r="A17" s="26" t="n"/>
      <c r="B17" s="26" t="n"/>
      <c r="C17" s="26" t="n"/>
      <c r="D17" s="26" t="n"/>
      <c r="E17" s="14" t="n"/>
      <c r="F17" s="27" t="n"/>
      <c r="G17" s="27" t="n"/>
      <c r="H17" s="17">
        <f>IF(ISNUMBER(F17),IF(ISNUMBER(G17),G17-F17,NOW()-F17),"")</f>
        <v/>
      </c>
      <c r="I17" s="14" t="n"/>
      <c r="J17" s="26" t="n"/>
      <c r="K17" s="15">
        <f>IF(ISNUMBER(F17),IF(ISNUMBER(G17),"Resuelto","Abierto"),"")</f>
        <v/>
      </c>
    </row>
    <row r="18">
      <c r="A18" s="26" t="n"/>
      <c r="B18" s="26" t="n"/>
      <c r="C18" s="26" t="n"/>
      <c r="D18" s="26" t="n"/>
      <c r="E18" s="14" t="n"/>
      <c r="F18" s="27" t="n"/>
      <c r="G18" s="27" t="n"/>
      <c r="H18" s="17">
        <f>IF(ISNUMBER(F18),IF(ISNUMBER(G18),G18-F18,NOW()-F18),"")</f>
        <v/>
      </c>
      <c r="I18" s="14" t="n"/>
      <c r="J18" s="26" t="n"/>
      <c r="K18" s="15">
        <f>IF(ISNUMBER(F18),IF(ISNUMBER(G18),"Resuelto","Abierto"),"")</f>
        <v/>
      </c>
    </row>
    <row r="19">
      <c r="A19" s="26" t="n"/>
      <c r="B19" s="26" t="n"/>
      <c r="C19" s="26" t="n"/>
      <c r="D19" s="26" t="n"/>
      <c r="E19" s="14" t="n"/>
      <c r="F19" s="27" t="n"/>
      <c r="G19" s="27" t="n"/>
      <c r="H19" s="17">
        <f>IF(ISNUMBER(F19),IF(ISNUMBER(G19),G19-F19,NOW()-F19),"")</f>
        <v/>
      </c>
      <c r="I19" s="14" t="n"/>
      <c r="J19" s="26" t="n"/>
      <c r="K19" s="15">
        <f>IF(ISNUMBER(F19),IF(ISNUMBER(G19),"Resuelto","Abierto"),"")</f>
        <v/>
      </c>
    </row>
    <row r="20">
      <c r="A20" s="26" t="n"/>
      <c r="B20" s="26" t="n"/>
      <c r="C20" s="26" t="n"/>
      <c r="D20" s="26" t="n"/>
      <c r="E20" s="14" t="n"/>
      <c r="F20" s="27" t="n"/>
      <c r="G20" s="27" t="n"/>
      <c r="H20" s="17">
        <f>IF(ISNUMBER(F20),IF(ISNUMBER(G20),G20-F20,NOW()-F20),"")</f>
        <v/>
      </c>
      <c r="I20" s="14" t="n"/>
      <c r="J20" s="26" t="n"/>
      <c r="K20" s="15">
        <f>IF(ISNUMBER(F20),IF(ISNUMBER(G20),"Resuelto","Abierto"),"")</f>
        <v/>
      </c>
    </row>
    <row r="21">
      <c r="A21" s="26" t="n"/>
      <c r="B21" s="26" t="n"/>
      <c r="C21" s="26" t="n"/>
      <c r="D21" s="26" t="n"/>
      <c r="E21" s="14" t="n"/>
      <c r="F21" s="27" t="n"/>
      <c r="G21" s="27" t="n"/>
      <c r="H21" s="17">
        <f>IF(ISNUMBER(F21),IF(ISNUMBER(G21),G21-F21,NOW()-F21),"")</f>
        <v/>
      </c>
      <c r="I21" s="14" t="n"/>
      <c r="J21" s="26" t="n"/>
      <c r="K21" s="15">
        <f>IF(ISNUMBER(F21),IF(ISNUMBER(G21),"Resuelto","Abierto"),"")</f>
        <v/>
      </c>
    </row>
    <row r="22">
      <c r="A22" s="26" t="n"/>
      <c r="B22" s="26" t="n"/>
      <c r="C22" s="26" t="n"/>
      <c r="D22" s="26" t="n"/>
      <c r="E22" s="14" t="n"/>
      <c r="F22" s="27" t="n"/>
      <c r="G22" s="27" t="n"/>
      <c r="H22" s="17">
        <f>IF(ISNUMBER(F22),IF(ISNUMBER(G22),G22-F22,NOW()-F22),"")</f>
        <v/>
      </c>
      <c r="I22" s="14" t="n"/>
      <c r="J22" s="26" t="n"/>
      <c r="K22" s="15">
        <f>IF(ISNUMBER(F22),IF(ISNUMBER(G22),"Resuelto","Abierto"),"")</f>
        <v/>
      </c>
    </row>
    <row r="23">
      <c r="A23" s="26" t="n"/>
      <c r="B23" s="26" t="n"/>
      <c r="C23" s="26" t="n"/>
      <c r="D23" s="26" t="n"/>
      <c r="E23" s="14" t="n"/>
      <c r="F23" s="27" t="n"/>
      <c r="G23" s="27" t="n"/>
      <c r="H23" s="17">
        <f>IF(ISNUMBER(F23),IF(ISNUMBER(G23),G23-F23,NOW()-F23),"")</f>
        <v/>
      </c>
      <c r="I23" s="14" t="n"/>
      <c r="J23" s="26" t="n"/>
      <c r="K23" s="15">
        <f>IF(ISNUMBER(F23),IF(ISNUMBER(G23),"Resuelto","Abierto"),"")</f>
        <v/>
      </c>
    </row>
    <row r="24">
      <c r="A24" s="26" t="n"/>
      <c r="B24" s="26" t="n"/>
      <c r="C24" s="26" t="n"/>
      <c r="D24" s="26" t="n"/>
      <c r="E24" s="14" t="n"/>
      <c r="F24" s="27" t="n"/>
      <c r="G24" s="27" t="n"/>
      <c r="H24" s="17">
        <f>IF(ISNUMBER(F24),IF(ISNUMBER(G24),G24-F24,NOW()-F24),"")</f>
        <v/>
      </c>
      <c r="I24" s="14" t="n"/>
      <c r="J24" s="26" t="n"/>
      <c r="K24" s="15">
        <f>IF(ISNUMBER(F24),IF(ISNUMBER(G24),"Resuelto","Abierto"),"")</f>
        <v/>
      </c>
    </row>
    <row r="25">
      <c r="A25" s="26" t="n"/>
      <c r="B25" s="26" t="n"/>
      <c r="C25" s="26" t="n"/>
      <c r="D25" s="26" t="n"/>
      <c r="E25" s="14" t="n"/>
      <c r="F25" s="27" t="n"/>
      <c r="G25" s="27" t="n"/>
      <c r="H25" s="17">
        <f>IF(ISNUMBER(F25),IF(ISNUMBER(G25),G25-F25,NOW()-F25),"")</f>
        <v/>
      </c>
      <c r="I25" s="14" t="n"/>
      <c r="J25" s="26" t="n"/>
      <c r="K25" s="15">
        <f>IF(ISNUMBER(F25),IF(ISNUMBER(G25),"Resuelto","Abierto"),"")</f>
        <v/>
      </c>
    </row>
    <row r="26">
      <c r="A26" s="26" t="n"/>
      <c r="B26" s="26" t="n"/>
      <c r="C26" s="26" t="n"/>
      <c r="D26" s="26" t="n"/>
      <c r="E26" s="14" t="n"/>
      <c r="F26" s="27" t="n"/>
      <c r="G26" s="27" t="n"/>
      <c r="H26" s="17">
        <f>IF(ISNUMBER(F26),IF(ISNUMBER(G26),G26-F26,NOW()-F26),"")</f>
        <v/>
      </c>
      <c r="I26" s="14" t="n"/>
      <c r="J26" s="26" t="n"/>
      <c r="K26" s="15">
        <f>IF(ISNUMBER(F26),IF(ISNUMBER(G26),"Resuelto","Abierto"),"")</f>
        <v/>
      </c>
    </row>
    <row r="27">
      <c r="A27" s="26" t="n"/>
      <c r="B27" s="26" t="n"/>
      <c r="C27" s="26" t="n"/>
      <c r="D27" s="26" t="n"/>
      <c r="E27" s="14" t="n"/>
      <c r="F27" s="27" t="n"/>
      <c r="G27" s="27" t="n"/>
      <c r="H27" s="17">
        <f>IF(ISNUMBER(F27),IF(ISNUMBER(G27),G27-F27,NOW()-F27),"")</f>
        <v/>
      </c>
      <c r="I27" s="14" t="n"/>
      <c r="J27" s="26" t="n"/>
      <c r="K27" s="15">
        <f>IF(ISNUMBER(F27),IF(ISNUMBER(G27),"Resuelto","Abierto"),"")</f>
        <v/>
      </c>
    </row>
    <row r="28">
      <c r="A28" s="26" t="n"/>
      <c r="B28" s="26" t="n"/>
      <c r="C28" s="26" t="n"/>
      <c r="D28" s="26" t="n"/>
      <c r="E28" s="14" t="n"/>
      <c r="F28" s="27" t="n"/>
      <c r="G28" s="27" t="n"/>
      <c r="H28" s="17">
        <f>IF(ISNUMBER(F28),IF(ISNUMBER(G28),G28-F28,NOW()-F28),"")</f>
        <v/>
      </c>
      <c r="I28" s="14" t="n"/>
      <c r="J28" s="26" t="n"/>
      <c r="K28" s="15">
        <f>IF(ISNUMBER(F28),IF(ISNUMBER(G28),"Resuelto","Abierto"),"")</f>
        <v/>
      </c>
    </row>
    <row r="29">
      <c r="A29" s="26" t="n"/>
      <c r="B29" s="26" t="n"/>
      <c r="C29" s="26" t="n"/>
      <c r="D29" s="26" t="n"/>
      <c r="E29" s="14" t="n"/>
      <c r="F29" s="27" t="n"/>
      <c r="G29" s="27" t="n"/>
      <c r="H29" s="17">
        <f>IF(ISNUMBER(F29),IF(ISNUMBER(G29),G29-F29,NOW()-F29),"")</f>
        <v/>
      </c>
      <c r="I29" s="14" t="n"/>
      <c r="J29" s="26" t="n"/>
      <c r="K29" s="15">
        <f>IF(ISNUMBER(F29),IF(ISNUMBER(G29),"Resuelto","Abierto"),"")</f>
        <v/>
      </c>
    </row>
    <row r="30">
      <c r="A30" s="26" t="n"/>
      <c r="B30" s="26" t="n"/>
      <c r="C30" s="26" t="n"/>
      <c r="D30" s="26" t="n"/>
      <c r="E30" s="14" t="n"/>
      <c r="F30" s="27" t="n"/>
      <c r="G30" s="27" t="n"/>
      <c r="H30" s="17">
        <f>IF(ISNUMBER(F30),IF(ISNUMBER(G30),G30-F30,NOW()-F30),"")</f>
        <v/>
      </c>
      <c r="I30" s="14" t="n"/>
      <c r="J30" s="26" t="n"/>
      <c r="K30" s="15">
        <f>IF(ISNUMBER(F30),IF(ISNUMBER(G30),"Resuelto","Abierto"),"")</f>
        <v/>
      </c>
    </row>
    <row r="31">
      <c r="A31" s="26" t="n"/>
      <c r="B31" s="26" t="n"/>
      <c r="C31" s="26" t="n"/>
      <c r="D31" s="26" t="n"/>
      <c r="E31" s="14" t="n"/>
      <c r="F31" s="27" t="n"/>
      <c r="G31" s="27" t="n"/>
      <c r="H31" s="17">
        <f>IF(ISNUMBER(F31),IF(ISNUMBER(G31),G31-F31,NOW()-F31),"")</f>
        <v/>
      </c>
      <c r="I31" s="14" t="n"/>
      <c r="J31" s="26" t="n"/>
      <c r="K31" s="15">
        <f>IF(ISNUMBER(F31),IF(ISNUMBER(G31),"Resuelto","Abierto"),"")</f>
        <v/>
      </c>
    </row>
    <row r="32">
      <c r="A32" s="26" t="n"/>
      <c r="B32" s="26" t="n"/>
      <c r="C32" s="26" t="n"/>
      <c r="D32" s="26" t="n"/>
      <c r="E32" s="14" t="n"/>
      <c r="F32" s="27" t="n"/>
      <c r="G32" s="27" t="n"/>
      <c r="H32" s="17">
        <f>IF(ISNUMBER(F32),IF(ISNUMBER(G32),G32-F32,NOW()-F32),"")</f>
        <v/>
      </c>
      <c r="I32" s="14" t="n"/>
      <c r="J32" s="26" t="n"/>
      <c r="K32" s="15">
        <f>IF(ISNUMBER(F32),IF(ISNUMBER(G32),"Resuelto","Abierto"),"")</f>
        <v/>
      </c>
    </row>
    <row r="33">
      <c r="A33" s="26" t="n"/>
      <c r="B33" s="26" t="n"/>
      <c r="C33" s="26" t="n"/>
      <c r="D33" s="26" t="n"/>
      <c r="E33" s="14" t="n"/>
      <c r="F33" s="27" t="n"/>
      <c r="G33" s="27" t="n"/>
      <c r="H33" s="17">
        <f>IF(ISNUMBER(F33),IF(ISNUMBER(G33),G33-F33,NOW()-F33),"")</f>
        <v/>
      </c>
      <c r="I33" s="14" t="n"/>
      <c r="J33" s="26" t="n"/>
      <c r="K33" s="15">
        <f>IF(ISNUMBER(F33),IF(ISNUMBER(G33),"Resuelto","Abierto"),"")</f>
        <v/>
      </c>
    </row>
    <row r="34">
      <c r="A34" s="26" t="n"/>
      <c r="B34" s="26" t="n"/>
      <c r="C34" s="26" t="n"/>
      <c r="D34" s="26" t="n"/>
      <c r="E34" s="14" t="n"/>
      <c r="F34" s="27" t="n"/>
      <c r="G34" s="27" t="n"/>
      <c r="H34" s="17">
        <f>IF(ISNUMBER(F34),IF(ISNUMBER(G34),G34-F34,NOW()-F34),"")</f>
        <v/>
      </c>
      <c r="I34" s="14" t="n"/>
      <c r="J34" s="26" t="n"/>
      <c r="K34" s="15">
        <f>IF(ISNUMBER(F34),IF(ISNUMBER(G34),"Resuelto","Abierto"),"")</f>
        <v/>
      </c>
    </row>
    <row r="35">
      <c r="A35" s="26" t="n"/>
      <c r="B35" s="26" t="n"/>
      <c r="C35" s="26" t="n"/>
      <c r="D35" s="26" t="n"/>
      <c r="E35" s="14" t="n"/>
      <c r="F35" s="27" t="n"/>
      <c r="G35" s="27" t="n"/>
      <c r="H35" s="17">
        <f>IF(ISNUMBER(F35),IF(ISNUMBER(G35),G35-F35,NOW()-F35),"")</f>
        <v/>
      </c>
      <c r="I35" s="14" t="n"/>
      <c r="J35" s="26" t="n"/>
      <c r="K35" s="15">
        <f>IF(ISNUMBER(F35),IF(ISNUMBER(G35),"Resuelto","Abierto"),"")</f>
        <v/>
      </c>
    </row>
    <row r="36">
      <c r="A36" s="26" t="n"/>
      <c r="B36" s="26" t="n"/>
      <c r="C36" s="26" t="n"/>
      <c r="D36" s="26" t="n"/>
      <c r="E36" s="14" t="n"/>
      <c r="F36" s="27" t="n"/>
      <c r="G36" s="27" t="n"/>
      <c r="H36" s="17">
        <f>IF(ISNUMBER(F36),IF(ISNUMBER(G36),G36-F36,NOW()-F36),"")</f>
        <v/>
      </c>
      <c r="I36" s="14" t="n"/>
      <c r="J36" s="26" t="n"/>
      <c r="K36" s="15">
        <f>IF(ISNUMBER(F36),IF(ISNUMBER(G36),"Resuelto","Abierto"),"")</f>
        <v/>
      </c>
    </row>
    <row r="37">
      <c r="A37" s="26" t="n"/>
      <c r="B37" s="26" t="n"/>
      <c r="C37" s="26" t="n"/>
      <c r="D37" s="26" t="n"/>
      <c r="E37" s="14" t="n"/>
      <c r="F37" s="27" t="n"/>
      <c r="G37" s="27" t="n"/>
      <c r="H37" s="17">
        <f>IF(ISNUMBER(F37),IF(ISNUMBER(G37),G37-F37,NOW()-F37),"")</f>
        <v/>
      </c>
      <c r="I37" s="14" t="n"/>
      <c r="J37" s="26" t="n"/>
      <c r="K37" s="15">
        <f>IF(ISNUMBER(F37),IF(ISNUMBER(G37),"Resuelto","Abierto"),"")</f>
        <v/>
      </c>
    </row>
    <row r="38">
      <c r="A38" s="26" t="n"/>
      <c r="B38" s="26" t="n"/>
      <c r="C38" s="26" t="n"/>
      <c r="D38" s="26" t="n"/>
      <c r="E38" s="14" t="n"/>
      <c r="F38" s="27" t="n"/>
      <c r="G38" s="27" t="n"/>
      <c r="H38" s="17">
        <f>IF(ISNUMBER(F38),IF(ISNUMBER(G38),G38-F38,NOW()-F38),"")</f>
        <v/>
      </c>
      <c r="I38" s="14" t="n"/>
      <c r="J38" s="26" t="n"/>
      <c r="K38" s="15">
        <f>IF(ISNUMBER(F38),IF(ISNUMBER(G38),"Resuelto","Abierto"),"")</f>
        <v/>
      </c>
    </row>
    <row r="39">
      <c r="A39" s="26" t="n"/>
      <c r="B39" s="26" t="n"/>
      <c r="C39" s="26" t="n"/>
      <c r="D39" s="26" t="n"/>
      <c r="E39" s="14" t="n"/>
      <c r="F39" s="27" t="n"/>
      <c r="G39" s="27" t="n"/>
      <c r="H39" s="17">
        <f>IF(ISNUMBER(F39),IF(ISNUMBER(G39),G39-F39,NOW()-F39),"")</f>
        <v/>
      </c>
      <c r="I39" s="14" t="n"/>
      <c r="J39" s="26" t="n"/>
      <c r="K39" s="15">
        <f>IF(ISNUMBER(F39),IF(ISNUMBER(G39),"Resuelto","Abierto"),"")</f>
        <v/>
      </c>
    </row>
    <row r="40">
      <c r="A40" s="26" t="n"/>
      <c r="B40" s="26" t="n"/>
      <c r="C40" s="26" t="n"/>
      <c r="D40" s="26" t="n"/>
      <c r="E40" s="14" t="n"/>
      <c r="F40" s="27" t="n"/>
      <c r="G40" s="27" t="n"/>
      <c r="H40" s="17">
        <f>IF(ISNUMBER(F40),IF(ISNUMBER(G40),G40-F40,NOW()-F40),"")</f>
        <v/>
      </c>
      <c r="I40" s="14" t="n"/>
      <c r="J40" s="26" t="n"/>
      <c r="K40" s="15">
        <f>IF(ISNUMBER(F40),IF(ISNUMBER(G40),"Resuelto","Abierto"),"")</f>
        <v/>
      </c>
    </row>
    <row r="41">
      <c r="A41" s="26" t="n"/>
      <c r="B41" s="26" t="n"/>
      <c r="C41" s="26" t="n"/>
      <c r="D41" s="26" t="n"/>
      <c r="E41" s="14" t="n"/>
      <c r="F41" s="27" t="n"/>
      <c r="G41" s="27" t="n"/>
      <c r="H41" s="17">
        <f>IF(ISNUMBER(F41),IF(ISNUMBER(G41),G41-F41,NOW()-F41),"")</f>
        <v/>
      </c>
      <c r="I41" s="14" t="n"/>
      <c r="J41" s="26" t="n"/>
      <c r="K41" s="15">
        <f>IF(ISNUMBER(F41),IF(ISNUMBER(G41),"Resuelto","Abierto"),"")</f>
        <v/>
      </c>
    </row>
    <row r="42">
      <c r="A42" s="26" t="n"/>
      <c r="B42" s="26" t="n"/>
      <c r="C42" s="26" t="n"/>
      <c r="D42" s="26" t="n"/>
      <c r="E42" s="14" t="n"/>
      <c r="F42" s="27" t="n"/>
      <c r="G42" s="27" t="n"/>
      <c r="H42" s="17">
        <f>IF(ISNUMBER(F42),IF(ISNUMBER(G42),G42-F42,NOW()-F42),"")</f>
        <v/>
      </c>
      <c r="I42" s="14" t="n"/>
      <c r="J42" s="26" t="n"/>
      <c r="K42" s="15">
        <f>IF(ISNUMBER(F42),IF(ISNUMBER(G42),"Resuelto","Abierto"),"")</f>
        <v/>
      </c>
    </row>
    <row r="43">
      <c r="A43" s="26" t="n"/>
      <c r="B43" s="26" t="n"/>
      <c r="C43" s="26" t="n"/>
      <c r="D43" s="26" t="n"/>
      <c r="E43" s="14" t="n"/>
      <c r="F43" s="27" t="n"/>
      <c r="G43" s="27" t="n"/>
      <c r="H43" s="17">
        <f>IF(ISNUMBER(F43),IF(ISNUMBER(G43),G43-F43,NOW()-F43),"")</f>
        <v/>
      </c>
      <c r="I43" s="14" t="n"/>
      <c r="J43" s="26" t="n"/>
      <c r="K43" s="15">
        <f>IF(ISNUMBER(F43),IF(ISNUMBER(G43),"Resuelto","Abierto"),"")</f>
        <v/>
      </c>
    </row>
    <row r="44">
      <c r="A44" s="26" t="n"/>
      <c r="B44" s="26" t="n"/>
      <c r="C44" s="26" t="n"/>
      <c r="D44" s="26" t="n"/>
      <c r="E44" s="14" t="n"/>
      <c r="F44" s="27" t="n"/>
      <c r="G44" s="27" t="n"/>
      <c r="H44" s="17">
        <f>IF(ISNUMBER(F44),IF(ISNUMBER(G44),G44-F44,NOW()-F44),"")</f>
        <v/>
      </c>
      <c r="I44" s="14" t="n"/>
      <c r="J44" s="26" t="n"/>
      <c r="K44" s="15">
        <f>IF(ISNUMBER(F44),IF(ISNUMBER(G44),"Resuelto","Abierto"),"")</f>
        <v/>
      </c>
    </row>
    <row r="45">
      <c r="A45" s="26" t="n"/>
      <c r="B45" s="26" t="n"/>
      <c r="C45" s="26" t="n"/>
      <c r="D45" s="26" t="n"/>
      <c r="E45" s="14" t="n"/>
      <c r="F45" s="27" t="n"/>
      <c r="G45" s="27" t="n"/>
      <c r="H45" s="17">
        <f>IF(ISNUMBER(F45),IF(ISNUMBER(G45),G45-F45,NOW()-F45),"")</f>
        <v/>
      </c>
      <c r="I45" s="14" t="n"/>
      <c r="J45" s="26" t="n"/>
      <c r="K45" s="15">
        <f>IF(ISNUMBER(F45),IF(ISNUMBER(G45),"Resuelto","Abierto"),"")</f>
        <v/>
      </c>
    </row>
    <row r="46">
      <c r="A46" s="26" t="n"/>
      <c r="B46" s="26" t="n"/>
      <c r="C46" s="26" t="n"/>
      <c r="D46" s="26" t="n"/>
      <c r="E46" s="14" t="n"/>
      <c r="F46" s="27" t="n"/>
      <c r="G46" s="27" t="n"/>
      <c r="H46" s="17">
        <f>IF(ISNUMBER(F46),IF(ISNUMBER(G46),G46-F46,NOW()-F46),"")</f>
        <v/>
      </c>
      <c r="I46" s="14" t="n"/>
      <c r="J46" s="26" t="n"/>
      <c r="K46" s="15">
        <f>IF(ISNUMBER(F46),IF(ISNUMBER(G46),"Resuelto","Abierto"),"")</f>
        <v/>
      </c>
    </row>
    <row r="47">
      <c r="A47" s="26" t="n"/>
      <c r="B47" s="26" t="n"/>
      <c r="C47" s="26" t="n"/>
      <c r="D47" s="26" t="n"/>
      <c r="E47" s="14" t="n"/>
      <c r="F47" s="27" t="n"/>
      <c r="G47" s="27" t="n"/>
      <c r="H47" s="17">
        <f>IF(ISNUMBER(F47),IF(ISNUMBER(G47),G47-F47,NOW()-F47),"")</f>
        <v/>
      </c>
      <c r="I47" s="14" t="n"/>
      <c r="J47" s="26" t="n"/>
      <c r="K47" s="15">
        <f>IF(ISNUMBER(F47),IF(ISNUMBER(G47),"Resuelto","Abierto"),"")</f>
        <v/>
      </c>
    </row>
    <row r="48">
      <c r="A48" s="26" t="n"/>
      <c r="B48" s="26" t="n"/>
      <c r="C48" s="26" t="n"/>
      <c r="D48" s="26" t="n"/>
      <c r="E48" s="14" t="n"/>
      <c r="F48" s="27" t="n"/>
      <c r="G48" s="27" t="n"/>
      <c r="H48" s="17">
        <f>IF(ISNUMBER(F48),IF(ISNUMBER(G48),G48-F48,NOW()-F48),"")</f>
        <v/>
      </c>
      <c r="I48" s="14" t="n"/>
      <c r="J48" s="26" t="n"/>
      <c r="K48" s="15">
        <f>IF(ISNUMBER(F48),IF(ISNUMBER(G48),"Resuelto","Abierto"),"")</f>
        <v/>
      </c>
    </row>
    <row r="49">
      <c r="A49" s="26" t="n"/>
      <c r="B49" s="26" t="n"/>
      <c r="C49" s="26" t="n"/>
      <c r="D49" s="26" t="n"/>
      <c r="E49" s="14" t="n"/>
      <c r="F49" s="27" t="n"/>
      <c r="G49" s="27" t="n"/>
      <c r="H49" s="17">
        <f>IF(ISNUMBER(F49),IF(ISNUMBER(G49),G49-F49,NOW()-F49),"")</f>
        <v/>
      </c>
      <c r="I49" s="14" t="n"/>
      <c r="J49" s="26" t="n"/>
      <c r="K49" s="15">
        <f>IF(ISNUMBER(F49),IF(ISNUMBER(G49),"Resuelto","Abierto"),"")</f>
        <v/>
      </c>
    </row>
    <row r="50">
      <c r="A50" s="26" t="n"/>
      <c r="B50" s="26" t="n"/>
      <c r="C50" s="26" t="n"/>
      <c r="D50" s="26" t="n"/>
      <c r="E50" s="14" t="n"/>
      <c r="F50" s="27" t="n"/>
      <c r="G50" s="27" t="n"/>
      <c r="H50" s="17">
        <f>IF(ISNUMBER(F50),IF(ISNUMBER(G50),G50-F50,NOW()-F50),"")</f>
        <v/>
      </c>
      <c r="I50" s="14" t="n"/>
      <c r="J50" s="26" t="n"/>
      <c r="K50" s="15">
        <f>IF(ISNUMBER(F50),IF(ISNUMBER(G50),"Resuelto","Abierto"),"")</f>
        <v/>
      </c>
    </row>
    <row r="51">
      <c r="A51" s="26" t="n"/>
      <c r="B51" s="26" t="n"/>
      <c r="C51" s="26" t="n"/>
      <c r="D51" s="26" t="n"/>
      <c r="E51" s="14" t="n"/>
      <c r="F51" s="27" t="n"/>
      <c r="G51" s="27" t="n"/>
      <c r="H51" s="17">
        <f>IF(ISNUMBER(F51),IF(ISNUMBER(G51),G51-F51,NOW()-F51),"")</f>
        <v/>
      </c>
      <c r="I51" s="14" t="n"/>
      <c r="J51" s="26" t="n"/>
      <c r="K51" s="15">
        <f>IF(ISNUMBER(F51),IF(ISNUMBER(G51),"Resuelto","Abierto"),"")</f>
        <v/>
      </c>
    </row>
    <row r="52">
      <c r="A52" s="26" t="n"/>
      <c r="B52" s="26" t="n"/>
      <c r="C52" s="26" t="n"/>
      <c r="D52" s="26" t="n"/>
      <c r="E52" s="14" t="n"/>
      <c r="F52" s="27" t="n"/>
      <c r="G52" s="27" t="n"/>
      <c r="H52" s="17">
        <f>IF(ISNUMBER(F52),IF(ISNUMBER(G52),G52-F52,NOW()-F52),"")</f>
        <v/>
      </c>
      <c r="I52" s="14" t="n"/>
      <c r="J52" s="26" t="n"/>
      <c r="K52" s="15">
        <f>IF(ISNUMBER(F52),IF(ISNUMBER(G52),"Resuelto","Abierto"),"")</f>
        <v/>
      </c>
    </row>
    <row r="53">
      <c r="A53" s="26" t="n"/>
      <c r="B53" s="26" t="n"/>
      <c r="C53" s="26" t="n"/>
      <c r="D53" s="26" t="n"/>
      <c r="E53" s="14" t="n"/>
      <c r="F53" s="27" t="n"/>
      <c r="G53" s="27" t="n"/>
      <c r="H53" s="17">
        <f>IF(ISNUMBER(F53),IF(ISNUMBER(G53),G53-F53,NOW()-F53),"")</f>
        <v/>
      </c>
      <c r="I53" s="14" t="n"/>
      <c r="J53" s="26" t="n"/>
      <c r="K53" s="15">
        <f>IF(ISNUMBER(F53),IF(ISNUMBER(G53),"Resuelto","Abierto"),"")</f>
        <v/>
      </c>
    </row>
    <row r="54">
      <c r="A54" s="26" t="n"/>
      <c r="B54" s="26" t="n"/>
      <c r="C54" s="26" t="n"/>
      <c r="D54" s="26" t="n"/>
      <c r="E54" s="14" t="n"/>
      <c r="F54" s="27" t="n"/>
      <c r="G54" s="27" t="n"/>
      <c r="H54" s="17">
        <f>IF(ISNUMBER(F54),IF(ISNUMBER(G54),G54-F54,NOW()-F54),"")</f>
        <v/>
      </c>
      <c r="I54" s="14" t="n"/>
      <c r="J54" s="26" t="n"/>
      <c r="K54" s="15">
        <f>IF(ISNUMBER(F54),IF(ISNUMBER(G54),"Resuelto","Abierto"),"")</f>
        <v/>
      </c>
    </row>
    <row r="55">
      <c r="A55" s="26" t="n"/>
      <c r="B55" s="26" t="n"/>
      <c r="C55" s="26" t="n"/>
      <c r="D55" s="26" t="n"/>
      <c r="E55" s="14" t="n"/>
      <c r="F55" s="27" t="n"/>
      <c r="G55" s="27" t="n"/>
      <c r="H55" s="17">
        <f>IF(ISNUMBER(F55),IF(ISNUMBER(G55),G55-F55,NOW()-F55),"")</f>
        <v/>
      </c>
      <c r="I55" s="14" t="n"/>
      <c r="J55" s="26" t="n"/>
      <c r="K55" s="15">
        <f>IF(ISNUMBER(F55),IF(ISNUMBER(G55),"Resuelto","Abierto"),"")</f>
        <v/>
      </c>
    </row>
    <row r="56">
      <c r="A56" s="26" t="n"/>
      <c r="B56" s="26" t="n"/>
      <c r="C56" s="26" t="n"/>
      <c r="D56" s="26" t="n"/>
      <c r="E56" s="14" t="n"/>
      <c r="F56" s="27" t="n"/>
      <c r="G56" s="27" t="n"/>
      <c r="H56" s="17">
        <f>IF(ISNUMBER(F56),IF(ISNUMBER(G56),G56-F56,NOW()-F56),"")</f>
        <v/>
      </c>
      <c r="I56" s="14" t="n"/>
      <c r="J56" s="26" t="n"/>
      <c r="K56" s="15">
        <f>IF(ISNUMBER(F56),IF(ISNUMBER(G56),"Resuelto","Abierto"),"")</f>
        <v/>
      </c>
    </row>
    <row r="57">
      <c r="A57" s="26" t="n"/>
      <c r="B57" s="26" t="n"/>
      <c r="C57" s="26" t="n"/>
      <c r="D57" s="26" t="n"/>
      <c r="E57" s="14" t="n"/>
      <c r="F57" s="27" t="n"/>
      <c r="G57" s="27" t="n"/>
      <c r="H57" s="17">
        <f>IF(ISNUMBER(F57),IF(ISNUMBER(G57),G57-F57,NOW()-F57),"")</f>
        <v/>
      </c>
      <c r="I57" s="14" t="n"/>
      <c r="J57" s="26" t="n"/>
      <c r="K57" s="15">
        <f>IF(ISNUMBER(F57),IF(ISNUMBER(G57),"Resuelto","Abierto"),"")</f>
        <v/>
      </c>
    </row>
    <row r="58">
      <c r="A58" s="26" t="n"/>
      <c r="B58" s="26" t="n"/>
      <c r="C58" s="26" t="n"/>
      <c r="D58" s="26" t="n"/>
      <c r="E58" s="14" t="n"/>
      <c r="F58" s="27" t="n"/>
      <c r="G58" s="27" t="n"/>
      <c r="H58" s="17">
        <f>IF(ISNUMBER(F58),IF(ISNUMBER(G58),G58-F58,NOW()-F58),"")</f>
        <v/>
      </c>
      <c r="I58" s="14" t="n"/>
      <c r="J58" s="26" t="n"/>
      <c r="K58" s="15">
        <f>IF(ISNUMBER(F58),IF(ISNUMBER(G58),"Resuelto","Abierto"),"")</f>
        <v/>
      </c>
    </row>
    <row r="59">
      <c r="A59" s="26" t="n"/>
      <c r="B59" s="26" t="n"/>
      <c r="C59" s="26" t="n"/>
      <c r="D59" s="26" t="n"/>
      <c r="E59" s="14" t="n"/>
      <c r="F59" s="27" t="n"/>
      <c r="G59" s="27" t="n"/>
      <c r="H59" s="17">
        <f>IF(ISNUMBER(F59),IF(ISNUMBER(G59),G59-F59,NOW()-F59),"")</f>
        <v/>
      </c>
      <c r="I59" s="14" t="n"/>
      <c r="J59" s="26" t="n"/>
      <c r="K59" s="15">
        <f>IF(ISNUMBER(F59),IF(ISNUMBER(G59),"Resuelto","Abierto"),"")</f>
        <v/>
      </c>
    </row>
    <row r="60">
      <c r="A60" s="26" t="n"/>
      <c r="B60" s="26" t="n"/>
      <c r="C60" s="26" t="n"/>
      <c r="D60" s="26" t="n"/>
      <c r="E60" s="14" t="n"/>
      <c r="F60" s="27" t="n"/>
      <c r="G60" s="27" t="n"/>
      <c r="H60" s="17">
        <f>IF(ISNUMBER(F60),IF(ISNUMBER(G60),G60-F60,NOW()-F60),"")</f>
        <v/>
      </c>
      <c r="I60" s="14" t="n"/>
      <c r="J60" s="26" t="n"/>
      <c r="K60" s="15">
        <f>IF(ISNUMBER(F60),IF(ISNUMBER(G60),"Resuelto","Abierto"),"")</f>
        <v/>
      </c>
    </row>
    <row r="61">
      <c r="A61" s="26" t="n"/>
      <c r="B61" s="26" t="n"/>
      <c r="C61" s="26" t="n"/>
      <c r="D61" s="26" t="n"/>
      <c r="E61" s="14" t="n"/>
      <c r="F61" s="27" t="n"/>
      <c r="G61" s="27" t="n"/>
      <c r="H61" s="17">
        <f>IF(ISNUMBER(F61),IF(ISNUMBER(G61),G61-F61,NOW()-F61),"")</f>
        <v/>
      </c>
      <c r="I61" s="14" t="n"/>
      <c r="J61" s="26" t="n"/>
      <c r="K61" s="15">
        <f>IF(ISNUMBER(F61),IF(ISNUMBER(G61),"Resuelto","Abierto"),"")</f>
        <v/>
      </c>
    </row>
  </sheetData>
  <dataValidations count="1">
    <dataValidation sqref="B2:B61" showDropDown="0" showInputMessage="0" showErrorMessage="0" allowBlank="1" type="list">
      <formula1>"0,1,2,3"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2" max="4"/>
    <col width="34" customWidth="1" style="5" min="5" max="5"/>
    <col width="40" customWidth="1" style="5" min="6" max="6"/>
    <col width="30" customWidth="1" style="5" min="7" max="8"/>
    <col width="12" customWidth="1" min="10" max="10"/>
    <col width="16" customWidth="1" style="24" min="11" max="12"/>
    <col width="10" customWidth="1" min="13" max="13"/>
  </cols>
  <sheetData>
    <row r="1" ht="36" customFormat="1" customHeight="1" s="8">
      <c r="A1" s="8" t="inlineStr">
        <is>
          <t>ID</t>
        </is>
      </c>
      <c r="B1" s="8" t="inlineStr">
        <is>
          <t>Sprint</t>
        </is>
      </c>
      <c r="C1" s="8" t="inlineStr">
        <is>
          <t>HU</t>
        </is>
      </c>
      <c r="D1" s="8" t="inlineStr">
        <is>
          <t>Issue</t>
        </is>
      </c>
      <c r="E1" s="10" t="inlineStr">
        <is>
          <t>Descripción</t>
        </is>
      </c>
      <c r="F1" s="10" t="inlineStr">
        <is>
          <t>Pasos para reproducir</t>
        </is>
      </c>
      <c r="G1" s="10" t="inlineStr">
        <is>
          <t>Resultado esperado</t>
        </is>
      </c>
      <c r="H1" s="10" t="inlineStr">
        <is>
          <t>Resultado obtenido</t>
        </is>
      </c>
      <c r="I1" s="8" t="inlineStr">
        <is>
          <t>Prioridad</t>
        </is>
      </c>
      <c r="J1" s="8" t="inlineStr">
        <is>
          <t>Estado</t>
        </is>
      </c>
      <c r="K1" s="25" t="inlineStr">
        <is>
          <t>Detectado</t>
        </is>
      </c>
      <c r="L1" s="25" t="inlineStr">
        <is>
          <t>Cerrado</t>
        </is>
      </c>
      <c r="M1" s="8" t="inlineStr">
        <is>
          <t>Caso de prueba</t>
        </is>
      </c>
    </row>
    <row r="2">
      <c r="A2" s="26" t="inlineStr">
        <is>
          <t>DEF-01</t>
        </is>
      </c>
      <c r="B2" s="26" t="n">
        <v>1</v>
      </c>
      <c r="C2" s="26" t="inlineStr">
        <is>
          <t>HU-02, HU-03, HU-05</t>
        </is>
      </c>
      <c r="D2" s="26" t="inlineStr">
        <is>
          <t>#56</t>
        </is>
      </c>
      <c r="E2" s="14" t="inlineStr">
        <is>
          <t>Tildes corruptas al cargar schema.sql y seeds.sql en Windows: falta SET NAMES utf8mb4 y el ENUM caso.estado queda mal guardado.</t>
        </is>
      </c>
      <c r="F2" s="14" t="inlineStr">
        <is>
          <t>1. Cargar db/schema.sql y db/seeds.sql con el cliente mysql de Windows, sin --default-character-set. 2. SELECT @@character_set_client (cp850). 3. Consultar usuario 1 y SHOW COLUMNS de caso.estado.</t>
        </is>
      </c>
      <c r="G2" s="14" t="inlineStr">
        <is>
          <t>Laura Gómez y los valores del ENUM estado con tildes correctas.</t>
        </is>
      </c>
      <c r="H2" s="14" t="inlineStr">
        <is>
          <t>Nombres corruptos (Laura G├│mez) y ENUM estado corrupto: el cambio a En análisis fallaría (rompe CP-04).</t>
        </is>
      </c>
      <c r="I2" s="26" t="inlineStr">
        <is>
          <t>P1</t>
        </is>
      </c>
      <c r="J2" s="26" t="inlineStr">
        <is>
          <t>Cerrado</t>
        </is>
      </c>
      <c r="K2" s="27" t="n">
        <v>46303.94185200232</v>
      </c>
      <c r="L2" s="27" t="n">
        <v>46304.52035900463</v>
      </c>
      <c r="M2" s="26" t="inlineStr">
        <is>
          <t>CP-04</t>
        </is>
      </c>
    </row>
    <row r="3">
      <c r="A3" s="26" t="inlineStr">
        <is>
          <t>DEF-02</t>
        </is>
      </c>
      <c r="B3" s="26" t="n">
        <v>2</v>
      </c>
      <c r="C3" s="26" t="inlineStr">
        <is>
          <t>HU-07</t>
        </is>
      </c>
      <c r="D3" s="26" t="inlineStr">
        <is>
          <t>#93</t>
        </is>
      </c>
      <c r="E3" s="14" t="inlineStr">
        <is>
          <t>Tras un error de validación (400/409), la pantalla Por validar reemplaza toda la lista por el mensaje de error y oculta los demás casos pendientes hasta recargar.</t>
        </is>
      </c>
      <c r="F3" s="14" t="inlineStr">
        <is>
          <t>1. Con Pedro Validador abrir /por-validar con dos casos En validación (#1 y #3). 2. Cerrar el #3 por API o desde otra pestaña. 3. Pulsar Aprobar en el #3.</t>
        </is>
      </c>
      <c r="G3" s="14" t="inlineStr">
        <is>
          <t>Se muestra el mensaje del 409 y el #1 sigue en la lista.</t>
        </is>
      </c>
      <c r="H3" s="14" t="inlineStr">
        <is>
          <t>Solo se ve 'Solo se validan casos En validación (está Cerrada).'; el #1 deja de verse aunque sigue En validación.</t>
        </is>
      </c>
      <c r="I3" s="26" t="inlineStr">
        <is>
          <t>P3</t>
        </is>
      </c>
      <c r="J3" s="26" t="inlineStr">
        <is>
          <t>Cerrado</t>
        </is>
      </c>
      <c r="K3" s="27" t="n">
        <v>46307.84027777778</v>
      </c>
      <c r="L3" s="27" t="n">
        <v>46308.30768518519</v>
      </c>
      <c r="M3" s="26" t="inlineStr">
        <is>
          <t>HU-07 (QA de la #77)</t>
        </is>
      </c>
    </row>
    <row r="4">
      <c r="A4" s="26" t="n"/>
      <c r="B4" s="26" t="n"/>
      <c r="C4" s="26" t="n"/>
      <c r="D4" s="26" t="n"/>
      <c r="E4" s="14" t="n"/>
      <c r="F4" s="14" t="n"/>
      <c r="G4" s="14" t="n"/>
      <c r="H4" s="14" t="n"/>
      <c r="I4" s="26" t="n"/>
      <c r="J4" s="26" t="n"/>
      <c r="K4" s="27" t="n"/>
      <c r="L4" s="27" t="n"/>
      <c r="M4" s="26" t="n"/>
    </row>
    <row r="5">
      <c r="A5" s="26" t="n"/>
      <c r="B5" s="26" t="n"/>
      <c r="C5" s="26" t="n"/>
      <c r="D5" s="26" t="n"/>
      <c r="E5" s="14" t="n"/>
      <c r="F5" s="14" t="n"/>
      <c r="G5" s="14" t="n"/>
      <c r="H5" s="14" t="n"/>
      <c r="I5" s="26" t="n"/>
      <c r="J5" s="26" t="n"/>
      <c r="K5" s="27" t="n"/>
      <c r="L5" s="27" t="n"/>
      <c r="M5" s="26" t="n"/>
    </row>
    <row r="6">
      <c r="A6" s="26" t="n"/>
      <c r="B6" s="26" t="n"/>
      <c r="C6" s="26" t="n"/>
      <c r="D6" s="26" t="n"/>
      <c r="E6" s="14" t="n"/>
      <c r="F6" s="14" t="n"/>
      <c r="G6" s="14" t="n"/>
      <c r="H6" s="14" t="n"/>
      <c r="I6" s="26" t="n"/>
      <c r="J6" s="26" t="n"/>
      <c r="K6" s="27" t="n"/>
      <c r="L6" s="27" t="n"/>
      <c r="M6" s="26" t="n"/>
    </row>
    <row r="7">
      <c r="A7" s="26" t="n"/>
      <c r="B7" s="26" t="n"/>
      <c r="C7" s="26" t="n"/>
      <c r="D7" s="26" t="n"/>
      <c r="E7" s="14" t="n"/>
      <c r="F7" s="14" t="n"/>
      <c r="G7" s="14" t="n"/>
      <c r="H7" s="14" t="n"/>
      <c r="I7" s="26" t="n"/>
      <c r="J7" s="26" t="n"/>
      <c r="K7" s="27" t="n"/>
      <c r="L7" s="27" t="n"/>
      <c r="M7" s="26" t="n"/>
    </row>
    <row r="8">
      <c r="A8" s="26" t="n"/>
      <c r="B8" s="26" t="n"/>
      <c r="C8" s="26" t="n"/>
      <c r="D8" s="26" t="n"/>
      <c r="E8" s="14" t="n"/>
      <c r="F8" s="14" t="n"/>
      <c r="G8" s="14" t="n"/>
      <c r="H8" s="14" t="n"/>
      <c r="I8" s="26" t="n"/>
      <c r="J8" s="26" t="n"/>
      <c r="K8" s="27" t="n"/>
      <c r="L8" s="27" t="n"/>
      <c r="M8" s="26" t="n"/>
    </row>
    <row r="9">
      <c r="A9" s="26" t="n"/>
      <c r="B9" s="26" t="n"/>
      <c r="C9" s="26" t="n"/>
      <c r="D9" s="26" t="n"/>
      <c r="E9" s="14" t="n"/>
      <c r="F9" s="14" t="n"/>
      <c r="G9" s="14" t="n"/>
      <c r="H9" s="14" t="n"/>
      <c r="I9" s="26" t="n"/>
      <c r="J9" s="26" t="n"/>
      <c r="K9" s="27" t="n"/>
      <c r="L9" s="27" t="n"/>
      <c r="M9" s="26" t="n"/>
    </row>
    <row r="10">
      <c r="A10" s="26" t="n"/>
      <c r="B10" s="26" t="n"/>
      <c r="C10" s="26" t="n"/>
      <c r="D10" s="26" t="n"/>
      <c r="E10" s="14" t="n"/>
      <c r="F10" s="14" t="n"/>
      <c r="G10" s="14" t="n"/>
      <c r="H10" s="14" t="n"/>
      <c r="I10" s="26" t="n"/>
      <c r="J10" s="26" t="n"/>
      <c r="K10" s="27" t="n"/>
      <c r="L10" s="27" t="n"/>
      <c r="M10" s="26" t="n"/>
    </row>
    <row r="11">
      <c r="A11" s="26" t="n"/>
      <c r="B11" s="26" t="n"/>
      <c r="C11" s="26" t="n"/>
      <c r="D11" s="26" t="n"/>
      <c r="E11" s="14" t="n"/>
      <c r="F11" s="14" t="n"/>
      <c r="G11" s="14" t="n"/>
      <c r="H11" s="14" t="n"/>
      <c r="I11" s="26" t="n"/>
      <c r="J11" s="26" t="n"/>
      <c r="K11" s="27" t="n"/>
      <c r="L11" s="27" t="n"/>
      <c r="M11" s="26" t="n"/>
    </row>
    <row r="12">
      <c r="A12" s="26" t="n"/>
      <c r="B12" s="26" t="n"/>
      <c r="C12" s="26" t="n"/>
      <c r="D12" s="26" t="n"/>
      <c r="E12" s="14" t="n"/>
      <c r="F12" s="14" t="n"/>
      <c r="G12" s="14" t="n"/>
      <c r="H12" s="14" t="n"/>
      <c r="I12" s="26" t="n"/>
      <c r="J12" s="26" t="n"/>
      <c r="K12" s="27" t="n"/>
      <c r="L12" s="27" t="n"/>
      <c r="M12" s="26" t="n"/>
    </row>
    <row r="13">
      <c r="A13" s="26" t="n"/>
      <c r="B13" s="26" t="n"/>
      <c r="C13" s="26" t="n"/>
      <c r="D13" s="26" t="n"/>
      <c r="E13" s="14" t="n"/>
      <c r="F13" s="14" t="n"/>
      <c r="G13" s="14" t="n"/>
      <c r="H13" s="14" t="n"/>
      <c r="I13" s="26" t="n"/>
      <c r="J13" s="26" t="n"/>
      <c r="K13" s="27" t="n"/>
      <c r="L13" s="27" t="n"/>
      <c r="M13" s="26" t="n"/>
    </row>
    <row r="14">
      <c r="A14" s="26" t="n"/>
      <c r="B14" s="26" t="n"/>
      <c r="C14" s="26" t="n"/>
      <c r="D14" s="26" t="n"/>
      <c r="E14" s="14" t="n"/>
      <c r="F14" s="14" t="n"/>
      <c r="G14" s="14" t="n"/>
      <c r="H14" s="14" t="n"/>
      <c r="I14" s="26" t="n"/>
      <c r="J14" s="26" t="n"/>
      <c r="K14" s="27" t="n"/>
      <c r="L14" s="27" t="n"/>
      <c r="M14" s="26" t="n"/>
    </row>
    <row r="15">
      <c r="A15" s="26" t="n"/>
      <c r="B15" s="26" t="n"/>
      <c r="C15" s="26" t="n"/>
      <c r="D15" s="26" t="n"/>
      <c r="E15" s="14" t="n"/>
      <c r="F15" s="14" t="n"/>
      <c r="G15" s="14" t="n"/>
      <c r="H15" s="14" t="n"/>
      <c r="I15" s="26" t="n"/>
      <c r="J15" s="26" t="n"/>
      <c r="K15" s="27" t="n"/>
      <c r="L15" s="27" t="n"/>
      <c r="M15" s="26" t="n"/>
    </row>
    <row r="16">
      <c r="A16" s="26" t="n"/>
      <c r="B16" s="26" t="n"/>
      <c r="C16" s="26" t="n"/>
      <c r="D16" s="26" t="n"/>
      <c r="E16" s="14" t="n"/>
      <c r="F16" s="14" t="n"/>
      <c r="G16" s="14" t="n"/>
      <c r="H16" s="14" t="n"/>
      <c r="I16" s="26" t="n"/>
      <c r="J16" s="26" t="n"/>
      <c r="K16" s="27" t="n"/>
      <c r="L16" s="27" t="n"/>
      <c r="M16" s="26" t="n"/>
    </row>
    <row r="17">
      <c r="A17" s="26" t="n"/>
      <c r="B17" s="26" t="n"/>
      <c r="C17" s="26" t="n"/>
      <c r="D17" s="26" t="n"/>
      <c r="E17" s="14" t="n"/>
      <c r="F17" s="14" t="n"/>
      <c r="G17" s="14" t="n"/>
      <c r="H17" s="14" t="n"/>
      <c r="I17" s="26" t="n"/>
      <c r="J17" s="26" t="n"/>
      <c r="K17" s="27" t="n"/>
      <c r="L17" s="27" t="n"/>
      <c r="M17" s="26" t="n"/>
    </row>
    <row r="18">
      <c r="A18" s="26" t="n"/>
      <c r="B18" s="26" t="n"/>
      <c r="C18" s="26" t="n"/>
      <c r="D18" s="26" t="n"/>
      <c r="E18" s="14" t="n"/>
      <c r="F18" s="14" t="n"/>
      <c r="G18" s="14" t="n"/>
      <c r="H18" s="14" t="n"/>
      <c r="I18" s="26" t="n"/>
      <c r="J18" s="26" t="n"/>
      <c r="K18" s="27" t="n"/>
      <c r="L18" s="27" t="n"/>
      <c r="M18" s="26" t="n"/>
    </row>
    <row r="19">
      <c r="A19" s="26" t="n"/>
      <c r="B19" s="26" t="n"/>
      <c r="C19" s="26" t="n"/>
      <c r="D19" s="26" t="n"/>
      <c r="E19" s="14" t="n"/>
      <c r="F19" s="14" t="n"/>
      <c r="G19" s="14" t="n"/>
      <c r="H19" s="14" t="n"/>
      <c r="I19" s="26" t="n"/>
      <c r="J19" s="26" t="n"/>
      <c r="K19" s="27" t="n"/>
      <c r="L19" s="27" t="n"/>
      <c r="M19" s="26" t="n"/>
    </row>
    <row r="20">
      <c r="A20" s="26" t="n"/>
      <c r="B20" s="26" t="n"/>
      <c r="C20" s="26" t="n"/>
      <c r="D20" s="26" t="n"/>
      <c r="E20" s="14" t="n"/>
      <c r="F20" s="14" t="n"/>
      <c r="G20" s="14" t="n"/>
      <c r="H20" s="14" t="n"/>
      <c r="I20" s="26" t="n"/>
      <c r="J20" s="26" t="n"/>
      <c r="K20" s="27" t="n"/>
      <c r="L20" s="27" t="n"/>
      <c r="M20" s="26" t="n"/>
    </row>
    <row r="21">
      <c r="A21" s="26" t="n"/>
      <c r="B21" s="26" t="n"/>
      <c r="C21" s="26" t="n"/>
      <c r="D21" s="26" t="n"/>
      <c r="E21" s="14" t="n"/>
      <c r="F21" s="14" t="n"/>
      <c r="G21" s="14" t="n"/>
      <c r="H21" s="14" t="n"/>
      <c r="I21" s="26" t="n"/>
      <c r="J21" s="26" t="n"/>
      <c r="K21" s="27" t="n"/>
      <c r="L21" s="27" t="n"/>
      <c r="M21" s="26" t="n"/>
    </row>
    <row r="22">
      <c r="A22" s="26" t="n"/>
      <c r="B22" s="26" t="n"/>
      <c r="C22" s="26" t="n"/>
      <c r="D22" s="26" t="n"/>
      <c r="E22" s="14" t="n"/>
      <c r="F22" s="14" t="n"/>
      <c r="G22" s="14" t="n"/>
      <c r="H22" s="14" t="n"/>
      <c r="I22" s="26" t="n"/>
      <c r="J22" s="26" t="n"/>
      <c r="K22" s="27" t="n"/>
      <c r="L22" s="27" t="n"/>
      <c r="M22" s="26" t="n"/>
    </row>
    <row r="23">
      <c r="A23" s="26" t="n"/>
      <c r="B23" s="26" t="n"/>
      <c r="C23" s="26" t="n"/>
      <c r="D23" s="26" t="n"/>
      <c r="E23" s="14" t="n"/>
      <c r="F23" s="14" t="n"/>
      <c r="G23" s="14" t="n"/>
      <c r="H23" s="14" t="n"/>
      <c r="I23" s="26" t="n"/>
      <c r="J23" s="26" t="n"/>
      <c r="K23" s="27" t="n"/>
      <c r="L23" s="27" t="n"/>
      <c r="M23" s="26" t="n"/>
    </row>
    <row r="24">
      <c r="A24" s="26" t="n"/>
      <c r="B24" s="26" t="n"/>
      <c r="C24" s="26" t="n"/>
      <c r="D24" s="26" t="n"/>
      <c r="E24" s="14" t="n"/>
      <c r="F24" s="14" t="n"/>
      <c r="G24" s="14" t="n"/>
      <c r="H24" s="14" t="n"/>
      <c r="I24" s="26" t="n"/>
      <c r="J24" s="26" t="n"/>
      <c r="K24" s="27" t="n"/>
      <c r="L24" s="27" t="n"/>
      <c r="M24" s="26" t="n"/>
    </row>
    <row r="25">
      <c r="A25" s="26" t="n"/>
      <c r="B25" s="26" t="n"/>
      <c r="C25" s="26" t="n"/>
      <c r="D25" s="26" t="n"/>
      <c r="E25" s="14" t="n"/>
      <c r="F25" s="14" t="n"/>
      <c r="G25" s="14" t="n"/>
      <c r="H25" s="14" t="n"/>
      <c r="I25" s="26" t="n"/>
      <c r="J25" s="26" t="n"/>
      <c r="K25" s="27" t="n"/>
      <c r="L25" s="27" t="n"/>
      <c r="M25" s="26" t="n"/>
    </row>
    <row r="26">
      <c r="A26" s="26" t="n"/>
      <c r="B26" s="26" t="n"/>
      <c r="C26" s="26" t="n"/>
      <c r="D26" s="26" t="n"/>
      <c r="E26" s="14" t="n"/>
      <c r="F26" s="14" t="n"/>
      <c r="G26" s="14" t="n"/>
      <c r="H26" s="14" t="n"/>
      <c r="I26" s="26" t="n"/>
      <c r="J26" s="26" t="n"/>
      <c r="K26" s="27" t="n"/>
      <c r="L26" s="27" t="n"/>
      <c r="M26" s="26" t="n"/>
    </row>
    <row r="27">
      <c r="A27" s="26" t="n"/>
      <c r="B27" s="26" t="n"/>
      <c r="C27" s="26" t="n"/>
      <c r="D27" s="26" t="n"/>
      <c r="E27" s="14" t="n"/>
      <c r="F27" s="14" t="n"/>
      <c r="G27" s="14" t="n"/>
      <c r="H27" s="14" t="n"/>
      <c r="I27" s="26" t="n"/>
      <c r="J27" s="26" t="n"/>
      <c r="K27" s="27" t="n"/>
      <c r="L27" s="27" t="n"/>
      <c r="M27" s="26" t="n"/>
    </row>
    <row r="28">
      <c r="A28" s="26" t="n"/>
      <c r="B28" s="26" t="n"/>
      <c r="C28" s="26" t="n"/>
      <c r="D28" s="26" t="n"/>
      <c r="E28" s="14" t="n"/>
      <c r="F28" s="14" t="n"/>
      <c r="G28" s="14" t="n"/>
      <c r="H28" s="14" t="n"/>
      <c r="I28" s="26" t="n"/>
      <c r="J28" s="26" t="n"/>
      <c r="K28" s="27" t="n"/>
      <c r="L28" s="27" t="n"/>
      <c r="M28" s="26" t="n"/>
    </row>
    <row r="29">
      <c r="A29" s="26" t="n"/>
      <c r="B29" s="26" t="n"/>
      <c r="C29" s="26" t="n"/>
      <c r="D29" s="26" t="n"/>
      <c r="E29" s="14" t="n"/>
      <c r="F29" s="14" t="n"/>
      <c r="G29" s="14" t="n"/>
      <c r="H29" s="14" t="n"/>
      <c r="I29" s="26" t="n"/>
      <c r="J29" s="26" t="n"/>
      <c r="K29" s="27" t="n"/>
      <c r="L29" s="27" t="n"/>
      <c r="M29" s="26" t="n"/>
    </row>
    <row r="30">
      <c r="A30" s="26" t="n"/>
      <c r="B30" s="26" t="n"/>
      <c r="C30" s="26" t="n"/>
      <c r="D30" s="26" t="n"/>
      <c r="E30" s="14" t="n"/>
      <c r="F30" s="14" t="n"/>
      <c r="G30" s="14" t="n"/>
      <c r="H30" s="14" t="n"/>
      <c r="I30" s="26" t="n"/>
      <c r="J30" s="26" t="n"/>
      <c r="K30" s="27" t="n"/>
      <c r="L30" s="27" t="n"/>
      <c r="M30" s="26" t="n"/>
    </row>
    <row r="31">
      <c r="A31" s="26" t="n"/>
      <c r="B31" s="26" t="n"/>
      <c r="C31" s="26" t="n"/>
      <c r="D31" s="26" t="n"/>
      <c r="E31" s="14" t="n"/>
      <c r="F31" s="14" t="n"/>
      <c r="G31" s="14" t="n"/>
      <c r="H31" s="14" t="n"/>
      <c r="I31" s="26" t="n"/>
      <c r="J31" s="26" t="n"/>
      <c r="K31" s="27" t="n"/>
      <c r="L31" s="27" t="n"/>
      <c r="M31" s="26" t="n"/>
    </row>
    <row r="32">
      <c r="A32" s="26" t="n"/>
      <c r="B32" s="26" t="n"/>
      <c r="C32" s="26" t="n"/>
      <c r="D32" s="26" t="n"/>
      <c r="E32" s="14" t="n"/>
      <c r="F32" s="14" t="n"/>
      <c r="G32" s="14" t="n"/>
      <c r="H32" s="14" t="n"/>
      <c r="I32" s="26" t="n"/>
      <c r="J32" s="26" t="n"/>
      <c r="K32" s="27" t="n"/>
      <c r="L32" s="27" t="n"/>
      <c r="M32" s="26" t="n"/>
    </row>
    <row r="33">
      <c r="A33" s="26" t="n"/>
      <c r="B33" s="26" t="n"/>
      <c r="C33" s="26" t="n"/>
      <c r="D33" s="26" t="n"/>
      <c r="E33" s="14" t="n"/>
      <c r="F33" s="14" t="n"/>
      <c r="G33" s="14" t="n"/>
      <c r="H33" s="14" t="n"/>
      <c r="I33" s="26" t="n"/>
      <c r="J33" s="26" t="n"/>
      <c r="K33" s="27" t="n"/>
      <c r="L33" s="27" t="n"/>
      <c r="M33" s="26" t="n"/>
    </row>
    <row r="34">
      <c r="A34" s="26" t="n"/>
      <c r="B34" s="26" t="n"/>
      <c r="C34" s="26" t="n"/>
      <c r="D34" s="26" t="n"/>
      <c r="E34" s="14" t="n"/>
      <c r="F34" s="14" t="n"/>
      <c r="G34" s="14" t="n"/>
      <c r="H34" s="14" t="n"/>
      <c r="I34" s="26" t="n"/>
      <c r="J34" s="26" t="n"/>
      <c r="K34" s="27" t="n"/>
      <c r="L34" s="27" t="n"/>
      <c r="M34" s="26" t="n"/>
    </row>
    <row r="35">
      <c r="A35" s="26" t="n"/>
      <c r="B35" s="26" t="n"/>
      <c r="C35" s="26" t="n"/>
      <c r="D35" s="26" t="n"/>
      <c r="E35" s="14" t="n"/>
      <c r="F35" s="14" t="n"/>
      <c r="G35" s="14" t="n"/>
      <c r="H35" s="14" t="n"/>
      <c r="I35" s="26" t="n"/>
      <c r="J35" s="26" t="n"/>
      <c r="K35" s="27" t="n"/>
      <c r="L35" s="27" t="n"/>
      <c r="M35" s="26" t="n"/>
    </row>
    <row r="36">
      <c r="A36" s="26" t="n"/>
      <c r="B36" s="26" t="n"/>
      <c r="C36" s="26" t="n"/>
      <c r="D36" s="26" t="n"/>
      <c r="E36" s="14" t="n"/>
      <c r="F36" s="14" t="n"/>
      <c r="G36" s="14" t="n"/>
      <c r="H36" s="14" t="n"/>
      <c r="I36" s="26" t="n"/>
      <c r="J36" s="26" t="n"/>
      <c r="K36" s="27" t="n"/>
      <c r="L36" s="27" t="n"/>
      <c r="M36" s="26" t="n"/>
    </row>
    <row r="37">
      <c r="A37" s="26" t="n"/>
      <c r="B37" s="26" t="n"/>
      <c r="C37" s="26" t="n"/>
      <c r="D37" s="26" t="n"/>
      <c r="E37" s="14" t="n"/>
      <c r="F37" s="14" t="n"/>
      <c r="G37" s="14" t="n"/>
      <c r="H37" s="14" t="n"/>
      <c r="I37" s="26" t="n"/>
      <c r="J37" s="26" t="n"/>
      <c r="K37" s="27" t="n"/>
      <c r="L37" s="27" t="n"/>
      <c r="M37" s="26" t="n"/>
    </row>
    <row r="38">
      <c r="A38" s="26" t="n"/>
      <c r="B38" s="26" t="n"/>
      <c r="C38" s="26" t="n"/>
      <c r="D38" s="26" t="n"/>
      <c r="E38" s="14" t="n"/>
      <c r="F38" s="14" t="n"/>
      <c r="G38" s="14" t="n"/>
      <c r="H38" s="14" t="n"/>
      <c r="I38" s="26" t="n"/>
      <c r="J38" s="26" t="n"/>
      <c r="K38" s="27" t="n"/>
      <c r="L38" s="27" t="n"/>
      <c r="M38" s="26" t="n"/>
    </row>
    <row r="39">
      <c r="A39" s="26" t="n"/>
      <c r="B39" s="26" t="n"/>
      <c r="C39" s="26" t="n"/>
      <c r="D39" s="26" t="n"/>
      <c r="E39" s="14" t="n"/>
      <c r="F39" s="14" t="n"/>
      <c r="G39" s="14" t="n"/>
      <c r="H39" s="14" t="n"/>
      <c r="I39" s="26" t="n"/>
      <c r="J39" s="26" t="n"/>
      <c r="K39" s="27" t="n"/>
      <c r="L39" s="27" t="n"/>
      <c r="M39" s="26" t="n"/>
    </row>
    <row r="40">
      <c r="A40" s="26" t="n"/>
      <c r="B40" s="26" t="n"/>
      <c r="C40" s="26" t="n"/>
      <c r="D40" s="26" t="n"/>
      <c r="E40" s="14" t="n"/>
      <c r="F40" s="14" t="n"/>
      <c r="G40" s="14" t="n"/>
      <c r="H40" s="14" t="n"/>
      <c r="I40" s="26" t="n"/>
      <c r="J40" s="26" t="n"/>
      <c r="K40" s="27" t="n"/>
      <c r="L40" s="27" t="n"/>
      <c r="M40" s="26" t="n"/>
    </row>
    <row r="41">
      <c r="A41" s="26" t="n"/>
      <c r="B41" s="26" t="n"/>
      <c r="C41" s="26" t="n"/>
      <c r="D41" s="26" t="n"/>
      <c r="E41" s="14" t="n"/>
      <c r="F41" s="14" t="n"/>
      <c r="G41" s="14" t="n"/>
      <c r="H41" s="14" t="n"/>
      <c r="I41" s="26" t="n"/>
      <c r="J41" s="26" t="n"/>
      <c r="K41" s="27" t="n"/>
      <c r="L41" s="27" t="n"/>
      <c r="M41" s="26" t="n"/>
    </row>
    <row r="42">
      <c r="A42" s="26" t="n"/>
      <c r="B42" s="26" t="n"/>
      <c r="C42" s="26" t="n"/>
      <c r="D42" s="26" t="n"/>
      <c r="E42" s="14" t="n"/>
      <c r="F42" s="14" t="n"/>
      <c r="G42" s="14" t="n"/>
      <c r="H42" s="14" t="n"/>
      <c r="I42" s="26" t="n"/>
      <c r="J42" s="26" t="n"/>
      <c r="K42" s="27" t="n"/>
      <c r="L42" s="27" t="n"/>
      <c r="M42" s="26" t="n"/>
    </row>
    <row r="43">
      <c r="A43" s="26" t="n"/>
      <c r="B43" s="26" t="n"/>
      <c r="C43" s="26" t="n"/>
      <c r="D43" s="26" t="n"/>
      <c r="E43" s="14" t="n"/>
      <c r="F43" s="14" t="n"/>
      <c r="G43" s="14" t="n"/>
      <c r="H43" s="14" t="n"/>
      <c r="I43" s="26" t="n"/>
      <c r="J43" s="26" t="n"/>
      <c r="K43" s="27" t="n"/>
      <c r="L43" s="27" t="n"/>
      <c r="M43" s="26" t="n"/>
    </row>
    <row r="44">
      <c r="A44" s="26" t="n"/>
      <c r="B44" s="26" t="n"/>
      <c r="C44" s="26" t="n"/>
      <c r="D44" s="26" t="n"/>
      <c r="E44" s="14" t="n"/>
      <c r="F44" s="14" t="n"/>
      <c r="G44" s="14" t="n"/>
      <c r="H44" s="14" t="n"/>
      <c r="I44" s="26" t="n"/>
      <c r="J44" s="26" t="n"/>
      <c r="K44" s="27" t="n"/>
      <c r="L44" s="27" t="n"/>
      <c r="M44" s="26" t="n"/>
    </row>
    <row r="45">
      <c r="A45" s="26" t="n"/>
      <c r="B45" s="26" t="n"/>
      <c r="C45" s="26" t="n"/>
      <c r="D45" s="26" t="n"/>
      <c r="E45" s="14" t="n"/>
      <c r="F45" s="14" t="n"/>
      <c r="G45" s="14" t="n"/>
      <c r="H45" s="14" t="n"/>
      <c r="I45" s="26" t="n"/>
      <c r="J45" s="26" t="n"/>
      <c r="K45" s="27" t="n"/>
      <c r="L45" s="27" t="n"/>
      <c r="M45" s="26" t="n"/>
    </row>
    <row r="46">
      <c r="A46" s="26" t="n"/>
      <c r="B46" s="26" t="n"/>
      <c r="C46" s="26" t="n"/>
      <c r="D46" s="26" t="n"/>
      <c r="E46" s="14" t="n"/>
      <c r="F46" s="14" t="n"/>
      <c r="G46" s="14" t="n"/>
      <c r="H46" s="14" t="n"/>
      <c r="I46" s="26" t="n"/>
      <c r="J46" s="26" t="n"/>
      <c r="K46" s="27" t="n"/>
      <c r="L46" s="27" t="n"/>
      <c r="M46" s="26" t="n"/>
    </row>
    <row r="47">
      <c r="A47" s="26" t="n"/>
      <c r="B47" s="26" t="n"/>
      <c r="C47" s="26" t="n"/>
      <c r="D47" s="26" t="n"/>
      <c r="E47" s="14" t="n"/>
      <c r="F47" s="14" t="n"/>
      <c r="G47" s="14" t="n"/>
      <c r="H47" s="14" t="n"/>
      <c r="I47" s="26" t="n"/>
      <c r="J47" s="26" t="n"/>
      <c r="K47" s="27" t="n"/>
      <c r="L47" s="27" t="n"/>
      <c r="M47" s="26" t="n"/>
    </row>
    <row r="48">
      <c r="A48" s="26" t="n"/>
      <c r="B48" s="26" t="n"/>
      <c r="C48" s="26" t="n"/>
      <c r="D48" s="26" t="n"/>
      <c r="E48" s="14" t="n"/>
      <c r="F48" s="14" t="n"/>
      <c r="G48" s="14" t="n"/>
      <c r="H48" s="14" t="n"/>
      <c r="I48" s="26" t="n"/>
      <c r="J48" s="26" t="n"/>
      <c r="K48" s="27" t="n"/>
      <c r="L48" s="27" t="n"/>
      <c r="M48" s="26" t="n"/>
    </row>
    <row r="49">
      <c r="A49" s="26" t="n"/>
      <c r="B49" s="26" t="n"/>
      <c r="C49" s="26" t="n"/>
      <c r="D49" s="26" t="n"/>
      <c r="E49" s="14" t="n"/>
      <c r="F49" s="14" t="n"/>
      <c r="G49" s="14" t="n"/>
      <c r="H49" s="14" t="n"/>
      <c r="I49" s="26" t="n"/>
      <c r="J49" s="26" t="n"/>
      <c r="K49" s="27" t="n"/>
      <c r="L49" s="27" t="n"/>
      <c r="M49" s="26" t="n"/>
    </row>
    <row r="50">
      <c r="A50" s="26" t="n"/>
      <c r="B50" s="26" t="n"/>
      <c r="C50" s="26" t="n"/>
      <c r="D50" s="26" t="n"/>
      <c r="E50" s="14" t="n"/>
      <c r="F50" s="14" t="n"/>
      <c r="G50" s="14" t="n"/>
      <c r="H50" s="14" t="n"/>
      <c r="I50" s="26" t="n"/>
      <c r="J50" s="26" t="n"/>
      <c r="K50" s="27" t="n"/>
      <c r="L50" s="27" t="n"/>
      <c r="M50" s="26" t="n"/>
    </row>
    <row r="51">
      <c r="A51" s="26" t="n"/>
      <c r="B51" s="26" t="n"/>
      <c r="C51" s="26" t="n"/>
      <c r="D51" s="26" t="n"/>
      <c r="E51" s="14" t="n"/>
      <c r="F51" s="14" t="n"/>
      <c r="G51" s="14" t="n"/>
      <c r="H51" s="14" t="n"/>
      <c r="I51" s="26" t="n"/>
      <c r="J51" s="26" t="n"/>
      <c r="K51" s="27" t="n"/>
      <c r="L51" s="27" t="n"/>
      <c r="M51" s="26" t="n"/>
    </row>
    <row r="52">
      <c r="A52" s="26" t="n"/>
      <c r="B52" s="26" t="n"/>
      <c r="C52" s="26" t="n"/>
      <c r="D52" s="26" t="n"/>
      <c r="E52" s="14" t="n"/>
      <c r="F52" s="14" t="n"/>
      <c r="G52" s="14" t="n"/>
      <c r="H52" s="14" t="n"/>
      <c r="I52" s="26" t="n"/>
      <c r="J52" s="26" t="n"/>
      <c r="K52" s="27" t="n"/>
      <c r="L52" s="27" t="n"/>
      <c r="M52" s="26" t="n"/>
    </row>
    <row r="53">
      <c r="A53" s="26" t="n"/>
      <c r="B53" s="26" t="n"/>
      <c r="C53" s="26" t="n"/>
      <c r="D53" s="26" t="n"/>
      <c r="E53" s="14" t="n"/>
      <c r="F53" s="14" t="n"/>
      <c r="G53" s="14" t="n"/>
      <c r="H53" s="14" t="n"/>
      <c r="I53" s="26" t="n"/>
      <c r="J53" s="26" t="n"/>
      <c r="K53" s="27" t="n"/>
      <c r="L53" s="27" t="n"/>
      <c r="M53" s="26" t="n"/>
    </row>
    <row r="54">
      <c r="A54" s="26" t="n"/>
      <c r="B54" s="26" t="n"/>
      <c r="C54" s="26" t="n"/>
      <c r="D54" s="26" t="n"/>
      <c r="E54" s="14" t="n"/>
      <c r="F54" s="14" t="n"/>
      <c r="G54" s="14" t="n"/>
      <c r="H54" s="14" t="n"/>
      <c r="I54" s="26" t="n"/>
      <c r="J54" s="26" t="n"/>
      <c r="K54" s="27" t="n"/>
      <c r="L54" s="27" t="n"/>
      <c r="M54" s="26" t="n"/>
    </row>
    <row r="55">
      <c r="A55" s="26" t="n"/>
      <c r="B55" s="26" t="n"/>
      <c r="C55" s="26" t="n"/>
      <c r="D55" s="26" t="n"/>
      <c r="E55" s="14" t="n"/>
      <c r="F55" s="14" t="n"/>
      <c r="G55" s="14" t="n"/>
      <c r="H55" s="14" t="n"/>
      <c r="I55" s="26" t="n"/>
      <c r="J55" s="26" t="n"/>
      <c r="K55" s="27" t="n"/>
      <c r="L55" s="27" t="n"/>
      <c r="M55" s="26" t="n"/>
    </row>
    <row r="56">
      <c r="A56" s="26" t="n"/>
      <c r="B56" s="26" t="n"/>
      <c r="C56" s="26" t="n"/>
      <c r="D56" s="26" t="n"/>
      <c r="E56" s="14" t="n"/>
      <c r="F56" s="14" t="n"/>
      <c r="G56" s="14" t="n"/>
      <c r="H56" s="14" t="n"/>
      <c r="I56" s="26" t="n"/>
      <c r="J56" s="26" t="n"/>
      <c r="K56" s="27" t="n"/>
      <c r="L56" s="27" t="n"/>
      <c r="M56" s="26" t="n"/>
    </row>
    <row r="57">
      <c r="A57" s="26" t="n"/>
      <c r="B57" s="26" t="n"/>
      <c r="C57" s="26" t="n"/>
      <c r="D57" s="26" t="n"/>
      <c r="E57" s="14" t="n"/>
      <c r="F57" s="14" t="n"/>
      <c r="G57" s="14" t="n"/>
      <c r="H57" s="14" t="n"/>
      <c r="I57" s="26" t="n"/>
      <c r="J57" s="26" t="n"/>
      <c r="K57" s="27" t="n"/>
      <c r="L57" s="27" t="n"/>
      <c r="M57" s="26" t="n"/>
    </row>
    <row r="58">
      <c r="A58" s="26" t="n"/>
      <c r="B58" s="26" t="n"/>
      <c r="C58" s="26" t="n"/>
      <c r="D58" s="26" t="n"/>
      <c r="E58" s="14" t="n"/>
      <c r="F58" s="14" t="n"/>
      <c r="G58" s="14" t="n"/>
      <c r="H58" s="14" t="n"/>
      <c r="I58" s="26" t="n"/>
      <c r="J58" s="26" t="n"/>
      <c r="K58" s="27" t="n"/>
      <c r="L58" s="27" t="n"/>
      <c r="M58" s="26" t="n"/>
    </row>
    <row r="59">
      <c r="A59" s="26" t="n"/>
      <c r="B59" s="26" t="n"/>
      <c r="C59" s="26" t="n"/>
      <c r="D59" s="26" t="n"/>
      <c r="E59" s="14" t="n"/>
      <c r="F59" s="14" t="n"/>
      <c r="G59" s="14" t="n"/>
      <c r="H59" s="14" t="n"/>
      <c r="I59" s="26" t="n"/>
      <c r="J59" s="26" t="n"/>
      <c r="K59" s="27" t="n"/>
      <c r="L59" s="27" t="n"/>
      <c r="M59" s="26" t="n"/>
    </row>
    <row r="60">
      <c r="A60" s="26" t="n"/>
      <c r="B60" s="26" t="n"/>
      <c r="C60" s="26" t="n"/>
      <c r="D60" s="26" t="n"/>
      <c r="E60" s="14" t="n"/>
      <c r="F60" s="14" t="n"/>
      <c r="G60" s="14" t="n"/>
      <c r="H60" s="14" t="n"/>
      <c r="I60" s="26" t="n"/>
      <c r="J60" s="26" t="n"/>
      <c r="K60" s="27" t="n"/>
      <c r="L60" s="27" t="n"/>
      <c r="M60" s="26" t="n"/>
    </row>
    <row r="61">
      <c r="A61" s="26" t="n"/>
      <c r="B61" s="26" t="n"/>
      <c r="C61" s="26" t="n"/>
      <c r="D61" s="26" t="n"/>
      <c r="E61" s="14" t="n"/>
      <c r="F61" s="14" t="n"/>
      <c r="G61" s="14" t="n"/>
      <c r="H61" s="14" t="n"/>
      <c r="I61" s="26" t="n"/>
      <c r="J61" s="26" t="n"/>
      <c r="K61" s="27" t="n"/>
      <c r="L61" s="27" t="n"/>
      <c r="M61" s="26" t="n"/>
    </row>
  </sheetData>
  <dataValidations count="3">
    <dataValidation sqref="B2:B61" showDropDown="0" showInputMessage="0" showErrorMessage="0" allowBlank="1" type="list">
      <formula1>"0,1,2,3"</formula1>
    </dataValidation>
    <dataValidation sqref="I2:I61" showDropDown="0" showInputMessage="0" showErrorMessage="0" allowBlank="1" type="list">
      <formula1>"P1,P2,P3"</formula1>
    </dataValidation>
    <dataValidation sqref="J2:J61" showDropDown="0" showInputMessage="0" showErrorMessage="0" allowBlank="1" type="list">
      <formula1>"Abierto,En corrección,Cerrado"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CampusHelp</dc:creator>
  <dcterms:created xsi:type="dcterms:W3CDTF">2026-10-08T05:22:14Z</dcterms:created>
  <dcterms:modified xsi:type="dcterms:W3CDTF">2026-10-13T15:42:04Z</dcterms:modified>
  <cp:lastModifiedBy>Unknown</cp:lastModifiedBy>
</cp:coreProperties>
</file>